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่งช่วงงวด" sheetId="1" state="visible" r:id="rId3"/>
    <sheet name="ตารางผ่อนเต็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<sst xmlns="http://schemas.openxmlformats.org/spreadsheetml/2006/main" count="39" uniqueCount="39">
  <si>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คิดดอกเบี้ยงวดที่ "คร่อมวันเปลี่ยนอัตรา" — แบ่งคิดตามช่วงวัน (LN-45)</t>
  </si>
  <si>
    <t xml:space="preserve">สูตร: ดอกเบี้ย = ยอดต้นคงเหลือ × อัตรา% ÷ 100 × จำนวนวัน ÷ 365  (คิดแยกแต่ละช่วงแล้วบวกกัน)</t>
  </si>
  <si>
    <t xml:space="preserve">ข้อมูลนำเข้า</t>
  </si>
  <si>
    <t xml:space="preserve">ยอดต้นคงเหลือต้นงวด</t>
  </si>
  <si>
    <t xml:space="preserve">อัตราช่วงก่อนเปลี่ยน (%)</t>
  </si>
  <si>
    <t xml:space="preserve">จำนวนวัน ช่วงก่อนเปลี่ยน</t>
  </si>
  <si>
    <t xml:space="preserve">อัตราช่วงหลังเปลี่ยน (%)</t>
  </si>
  <si>
    <t xml:space="preserve">จำนวนวัน ช่วงหลังเปลี่ยน</t>
  </si>
  <si>
    <t xml:space="preserve">ฐานวันต่อปี</t>
  </si>
  <si>
    <t xml:space="preserve">การคำนวณ</t>
  </si>
  <si>
    <t xml:space="preserve">ดอกช่วงก่อนเปลี่ยน = ยอดต้น × อัตรา1 ÷ 100 × วัน1 ÷ 365</t>
  </si>
  <si>
    <t xml:space="preserve">ดอกช่วงหลังเปลี่ยน = ยอดต้น × อัตรา2 ÷ 100 × วัน2 ÷ 365</t>
  </si>
  <si>
    <t xml:space="preserve">ดอกเบี้ยรวมงวดนั้น = ช่วงก่อน + ช่วงหลัง</t>
  </si>
  <si>
    <t xml:space="preserve">ดอกเบี้ยที่ระบบแสดง (กรอกเทียบ)</t>
  </si>
  <si>
    <t xml:space="preserve">ผลตรวจ</t>
  </si>
  <si>
    <t xml:space="preserve">เทียบ: ถ้าคิดอัตราเดียวทั้งงวด (31 วัน)</t>
  </si>
  <si>
    <t xml:space="preserve">2% ล้วน</t>
  </si>
  <si>
    <t xml:space="preserve">6% ล้วน</t>
  </si>
  <si>
    <t xml:space="preserve">→ ค่าแบ่งช่วง 3,342.47 อยู่ระหว่าง 2 ค่านี้ = แบ่งจริง</t>
  </si>
  <si>
    <t xml:space="preserve">ตารางผ่อน LN-45 — คิดดอก actual/365 แบ่งช่วงตามวันเปลี่ยนอัตราอัตโนมัติ</t>
  </si>
  <si>
    <t xml:space="preserve">PRINCIPAL</t>
  </si>
  <si>
    <t xml:space="preserve">อัตราก่อนเปลี่ยน (%)</t>
  </si>
  <si>
    <t xml:space="preserve">TERM (MONTHS)</t>
  </si>
  <si>
    <t xml:space="preserve">อัตราหลังเปลี่ยน (%)</t>
  </si>
  <si>
    <t xml:space="preserve">INSTALLMENT START DATE</t>
  </si>
  <si>
    <t xml:space="preserve">วันที่เปลี่ยนอัตรา</t>
  </si>
  <si>
    <t xml:space="preserve">INSTALLMENT (level) = PMT</t>
  </si>
  <si>
    <t xml:space="preserve">งวด</t>
  </si>
  <si>
    <t xml:space="preserve">วันเริ่ม</t>
  </si>
  <si>
    <t xml:space="preserve">วันสิ้นงวด</t>
  </si>
  <si>
    <t xml:space="preserve">วันรวม</t>
  </si>
  <si>
    <t xml:space="preserve">วัน@ก่อน</t>
  </si>
  <si>
    <t xml:space="preserve">วัน@หลัง</t>
  </si>
  <si>
    <t xml:space="preserve">ยอดต้นต้นงวด</t>
  </si>
  <si>
    <t xml:space="preserve">ดอกเบี้ย(แบ่งช่วง)</t>
  </si>
  <si>
    <t xml:space="preserve">เงินต้น</t>
  </si>
  <si>
    <t xml:space="preserve">ยอดต้นปลายงวด</t>
  </si>
  <si>
    <t xml:space="preserve">รวมดอกเบี้ย →</t>
  </si>
  <si>
    <t xml:space="preserve">หมายเหตุ: งวดที่คร่อมวันเปลี่ยนอัตรา (16/10) จะมีทั้ง "วัน@ก่อน" และ "วัน@หลัง" → ดอกเบี้ยถูกแบ่งคิด · งวดอื่นมีวันเดียวข้าง = อัตราเดียว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</si>
</sst>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"/>
    <numFmt numFmtId="168" formatCode="#,##0"/>
    <numFmt numFmtId="169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1.9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1000000</v>
      </c>
    </row>
    <row r="6" customFormat="false" ht="15" hidden="false" customHeight="false" outlineLevel="0" collapsed="false">
      <c r="A6" s="4" t="s">
        <v>4</v>
      </c>
      <c r="B6" s="6" t="n">
        <v>2</v>
      </c>
    </row>
    <row r="7" customFormat="false" ht="15" hidden="false" customHeight="false" outlineLevel="0" collapsed="false">
      <c r="A7" s="4" t="s">
        <v>5</v>
      </c>
      <c r="B7" s="7" t="n">
        <v>16</v>
      </c>
    </row>
    <row r="8" customFormat="false" ht="15" hidden="false" customHeight="false" outlineLevel="0" collapsed="false">
      <c r="A8" s="4" t="s">
        <v>6</v>
      </c>
      <c r="B8" s="6" t="n">
        <v>6</v>
      </c>
    </row>
    <row r="9" customFormat="false" ht="15" hidden="false" customHeight="false" outlineLevel="0" collapsed="false">
      <c r="A9" s="4" t="s">
        <v>7</v>
      </c>
      <c r="B9" s="7" t="n">
        <v>15</v>
      </c>
    </row>
    <row r="10" customFormat="false" ht="15" hidden="false" customHeight="false" outlineLevel="0" collapsed="false">
      <c r="A10" s="4" t="s">
        <v>8</v>
      </c>
      <c r="B10" s="7" t="n">
        <v>365</v>
      </c>
    </row>
    <row r="12" customFormat="false" ht="15" hidden="false" customHeight="true" outlineLevel="0" collapsed="false">
      <c r="A12" s="3" t="s">
        <v>9</v>
      </c>
      <c r="B12" s="3"/>
    </row>
    <row r="13" customFormat="false" ht="15" hidden="false" customHeight="false" outlineLevel="0" collapsed="false">
      <c r="A13" s="4" t="s">
        <v>10</v>
      </c>
      <c r="B13" s="8" t="n">
        <f aca="false">B5*B6/100*B7/B10</f>
        <v>876.712328767123</v>
      </c>
    </row>
    <row r="14" customFormat="false" ht="15" hidden="false" customHeight="false" outlineLevel="0" collapsed="false">
      <c r="A14" s="4" t="s">
        <v>11</v>
      </c>
      <c r="B14" s="8" t="n">
        <f aca="false">B5*B8/100*B9/B10</f>
        <v>2465.75342465753</v>
      </c>
    </row>
    <row r="15" customFormat="false" ht="15" hidden="false" customHeight="false" outlineLevel="0" collapsed="false">
      <c r="A15" s="9" t="s">
        <v>12</v>
      </c>
      <c r="B15" s="10" t="n">
        <f aca="false">B13+B14</f>
        <v>3342.46575342466</v>
      </c>
    </row>
    <row r="17" customFormat="false" ht="15" hidden="false" customHeight="false" outlineLevel="0" collapsed="false">
      <c r="A17" s="4" t="s">
        <v>13</v>
      </c>
      <c r="B17" s="5" t="n">
        <v>3342.47</v>
      </c>
    </row>
    <row r="18" customFormat="false" ht="15" hidden="false" customHeight="false" outlineLevel="0" collapsed="false">
      <c r="A18" s="9" t="s">
        <v>14</v>
      </c>
      <c r="B18" s="11" t="str">
        <f aca="false">IF(ABS(B15-B17)&lt;0.01,"PASS ✓","FAIL ✗")</f>
        <v>PASS ✓</v>
      </c>
    </row>
    <row r="20" customFormat="false" ht="15" hidden="false" customHeight="false" outlineLevel="0" collapsed="false">
      <c r="A20" s="12" t="s">
        <v>15</v>
      </c>
      <c r="B20" s="12"/>
    </row>
    <row r="21" customFormat="false" ht="15" hidden="false" customHeight="false" outlineLevel="0" collapsed="false">
      <c r="A21" s="4" t="s">
        <v>16</v>
      </c>
      <c r="B21" s="13" t="n">
        <f aca="false">B5*B6/100*(B7+B9)/B10</f>
        <v>1698.6301369863</v>
      </c>
    </row>
    <row r="22" customFormat="false" ht="15" hidden="false" customHeight="false" outlineLevel="0" collapsed="false">
      <c r="A22" s="4" t="s">
        <v>17</v>
      </c>
      <c r="B22" s="13" t="n">
        <f aca="false">B5*B8/100*(B7+B9)/B10</f>
        <v>5095.8904109589</v>
      </c>
    </row>
    <row r="23" customFormat="false" ht="11.9" hidden="false" customHeight="false" outlineLevel="0" collapsed="false">
      <c r="A23" s="14" t="s">
        <v>18</v>
      </c>
      <c r="B23" s="14"/>
      <c r="C23" s="14"/>
      <c r="D23" s="14"/>
    </row>
  </sheetData>
  <mergeCells count="6">
    <mergeCell ref="A1:D1"/>
    <mergeCell ref="A2:D2"/>
    <mergeCell ref="A4:B4"/>
    <mergeCell ref="A12:B12"/>
    <mergeCell ref="A20:B20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4.15" hidden="false" customHeight="false" outlineLevel="0" collapsed="false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15" hidden="false" customHeight="false" outlineLevel="0" collapsed="false">
      <c r="A3" s="4" t="s">
        <v>20</v>
      </c>
      <c r="B3" s="16" t="n">
        <v>1000000</v>
      </c>
      <c r="D3" s="4" t="s">
        <v>21</v>
      </c>
      <c r="E3" s="17" t="n">
        <v>2</v>
      </c>
    </row>
    <row r="4" customFormat="false" ht="15" hidden="false" customHeight="false" outlineLevel="0" collapsed="false">
      <c r="A4" s="4" t="s">
        <v>22</v>
      </c>
      <c r="B4" s="18" t="n">
        <v>12</v>
      </c>
      <c r="D4" s="4" t="s">
        <v>23</v>
      </c>
      <c r="E4" s="17" t="n">
        <v>6</v>
      </c>
    </row>
    <row r="5" customFormat="false" ht="15" hidden="false" customHeight="false" outlineLevel="0" collapsed="false">
      <c r="A5" s="4" t="s">
        <v>24</v>
      </c>
      <c r="B5" s="19" t="n">
        <v>46295</v>
      </c>
      <c r="D5" s="4" t="s">
        <v>25</v>
      </c>
      <c r="E5" s="19" t="n">
        <v>46311</v>
      </c>
    </row>
    <row r="6" customFormat="false" ht="15" hidden="false" customHeight="false" outlineLevel="0" collapsed="false">
      <c r="A6" s="9" t="s">
        <v>26</v>
      </c>
      <c r="B6" s="20" t="n">
        <f aca="false">-PMT($E$3/100/12,$B$4,$B$3)</f>
        <v>84238.8672841054</v>
      </c>
    </row>
    <row r="8" customFormat="false" ht="26.85" hidden="false" customHeight="false" outlineLevel="0" collapsed="false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35</v>
      </c>
      <c r="J8" s="3" t="s">
        <v>36</v>
      </c>
    </row>
    <row r="9" customFormat="false" ht="15" hidden="false" customHeight="false" outlineLevel="0" collapsed="false">
      <c r="A9" s="4" t="n">
        <v>1</v>
      </c>
      <c r="B9" s="21" t="n">
        <f aca="false">EOMONTH($B$5,0)</f>
        <v>46295</v>
      </c>
      <c r="C9" s="21" t="n">
        <f aca="false">EOMONTH($B$5,1)</f>
        <v>46326</v>
      </c>
      <c r="D9" s="4" t="n">
        <f aca="false">C9-B9</f>
        <v>31</v>
      </c>
      <c r="E9" s="4" t="n">
        <f aca="false">MAX(0,MIN(C9,$E$5)-B9)</f>
        <v>16</v>
      </c>
      <c r="F9" s="4" t="n">
        <f aca="false">MAX(0,C9-MAX(B9,$E$5))</f>
        <v>15</v>
      </c>
      <c r="G9" s="13" t="n">
        <f aca="false">$B$3</f>
        <v>1000000</v>
      </c>
      <c r="H9" s="8" t="n">
        <f aca="false">ROUND(G9*(E9*$E$3+F9*$E$4)/100/365,2)</f>
        <v>3342.47</v>
      </c>
      <c r="I9" s="13" t="n">
        <f aca="false">IF(1=$B$4,G9,$B$6-H9)</f>
        <v>80896.3972841054</v>
      </c>
      <c r="J9" s="13" t="n">
        <f aca="false">G9-I9</f>
        <v>919103.602715895</v>
      </c>
    </row>
    <row r="10" customFormat="false" ht="15" hidden="false" customHeight="false" outlineLevel="0" collapsed="false">
      <c r="A10" s="4" t="n">
        <v>2</v>
      </c>
      <c r="B10" s="21" t="n">
        <f aca="false">EOMONTH($B$5,1)</f>
        <v>46326</v>
      </c>
      <c r="C10" s="21" t="n">
        <f aca="false">EOMONTH($B$5,2)</f>
        <v>46356</v>
      </c>
      <c r="D10" s="4" t="n">
        <f aca="false">C10-B10</f>
        <v>30</v>
      </c>
      <c r="E10" s="4" t="n">
        <f aca="false">MAX(0,MIN(C10,$E$5)-B10)</f>
        <v>0</v>
      </c>
      <c r="F10" s="4" t="n">
        <f aca="false">MAX(0,C10-MAX(B10,$E$5))</f>
        <v>30</v>
      </c>
      <c r="G10" s="13" t="n">
        <f aca="false">J9</f>
        <v>919103.602715895</v>
      </c>
      <c r="H10" s="8" t="n">
        <f aca="false">ROUND(G10*(E10*$E$3+F10*$E$4)/100/365,2)</f>
        <v>4532.57</v>
      </c>
      <c r="I10" s="13" t="n">
        <f aca="false">IF(2=$B$4,G10,$B$6-H10)</f>
        <v>79706.2972841054</v>
      </c>
      <c r="J10" s="13" t="n">
        <f aca="false">G10-I10</f>
        <v>839397.305431789</v>
      </c>
    </row>
    <row r="11" customFormat="false" ht="15" hidden="false" customHeight="false" outlineLevel="0" collapsed="false">
      <c r="A11" s="4" t="n">
        <v>3</v>
      </c>
      <c r="B11" s="21" t="n">
        <f aca="false">EOMONTH($B$5,2)</f>
        <v>46356</v>
      </c>
      <c r="C11" s="21" t="n">
        <f aca="false">EOMONTH($B$5,3)</f>
        <v>46387</v>
      </c>
      <c r="D11" s="4" t="n">
        <f aca="false">C11-B11</f>
        <v>31</v>
      </c>
      <c r="E11" s="4" t="n">
        <f aca="false">MAX(0,MIN(C11,$E$5)-B11)</f>
        <v>0</v>
      </c>
      <c r="F11" s="4" t="n">
        <f aca="false">MAX(0,C11-MAX(B11,$E$5))</f>
        <v>31</v>
      </c>
      <c r="G11" s="13" t="n">
        <f aca="false">J10</f>
        <v>839397.305431789</v>
      </c>
      <c r="H11" s="8" t="n">
        <f aca="false">ROUND(G11*(E11*$E$3+F11*$E$4)/100/365,2)</f>
        <v>4277.48</v>
      </c>
      <c r="I11" s="13" t="n">
        <f aca="false">IF(3=$B$4,G11,$B$6-H11)</f>
        <v>79961.3872841054</v>
      </c>
      <c r="J11" s="13" t="n">
        <f aca="false">G11-I11</f>
        <v>759435.918147684</v>
      </c>
    </row>
    <row r="12" customFormat="false" ht="15" hidden="false" customHeight="false" outlineLevel="0" collapsed="false">
      <c r="A12" s="4" t="n">
        <v>4</v>
      </c>
      <c r="B12" s="21" t="n">
        <f aca="false">EOMONTH($B$5,3)</f>
        <v>46387</v>
      </c>
      <c r="C12" s="21" t="n">
        <f aca="false">EOMONTH($B$5,4)</f>
        <v>46418</v>
      </c>
      <c r="D12" s="4" t="n">
        <f aca="false">C12-B12</f>
        <v>31</v>
      </c>
      <c r="E12" s="4" t="n">
        <f aca="false">MAX(0,MIN(C12,$E$5)-B12)</f>
        <v>0</v>
      </c>
      <c r="F12" s="4" t="n">
        <f aca="false">MAX(0,C12-MAX(B12,$E$5))</f>
        <v>31</v>
      </c>
      <c r="G12" s="13" t="n">
        <f aca="false">J11</f>
        <v>759435.918147684</v>
      </c>
      <c r="H12" s="8" t="n">
        <f aca="false">ROUND(G12*(E12*$E$3+F12*$E$4)/100/365,2)</f>
        <v>3870</v>
      </c>
      <c r="I12" s="13" t="n">
        <f aca="false">IF(4=$B$4,G12,$B$6-H12)</f>
        <v>80368.8672841054</v>
      </c>
      <c r="J12" s="13" t="n">
        <f aca="false">G12-I12</f>
        <v>679067.050863578</v>
      </c>
    </row>
    <row r="13" customFormat="false" ht="15" hidden="false" customHeight="false" outlineLevel="0" collapsed="false">
      <c r="A13" s="4" t="n">
        <v>5</v>
      </c>
      <c r="B13" s="21" t="n">
        <f aca="false">EOMONTH($B$5,4)</f>
        <v>46418</v>
      </c>
      <c r="C13" s="21" t="n">
        <f aca="false">EOMONTH($B$5,5)</f>
        <v>46446</v>
      </c>
      <c r="D13" s="4" t="n">
        <f aca="false">C13-B13</f>
        <v>28</v>
      </c>
      <c r="E13" s="4" t="n">
        <f aca="false">MAX(0,MIN(C13,$E$5)-B13)</f>
        <v>0</v>
      </c>
      <c r="F13" s="4" t="n">
        <f aca="false">MAX(0,C13-MAX(B13,$E$5))</f>
        <v>28</v>
      </c>
      <c r="G13" s="13" t="n">
        <f aca="false">J12</f>
        <v>679067.050863578</v>
      </c>
      <c r="H13" s="8" t="n">
        <f aca="false">ROUND(G13*(E13*$E$3+F13*$E$4)/100/365,2)</f>
        <v>3125.57</v>
      </c>
      <c r="I13" s="13" t="n">
        <f aca="false">IF(5=$B$4,G13,$B$6-H13)</f>
        <v>81113.2972841054</v>
      </c>
      <c r="J13" s="13" t="n">
        <f aca="false">G13-I13</f>
        <v>597953.753579473</v>
      </c>
    </row>
    <row r="14" customFormat="false" ht="15" hidden="false" customHeight="false" outlineLevel="0" collapsed="false">
      <c r="A14" s="4" t="n">
        <v>6</v>
      </c>
      <c r="B14" s="21" t="n">
        <f aca="false">EOMONTH($B$5,5)</f>
        <v>46446</v>
      </c>
      <c r="C14" s="21" t="n">
        <f aca="false">EOMONTH($B$5,6)</f>
        <v>46477</v>
      </c>
      <c r="D14" s="4" t="n">
        <f aca="false">C14-B14</f>
        <v>31</v>
      </c>
      <c r="E14" s="4" t="n">
        <f aca="false">MAX(0,MIN(C14,$E$5)-B14)</f>
        <v>0</v>
      </c>
      <c r="F14" s="4" t="n">
        <f aca="false">MAX(0,C14-MAX(B14,$E$5))</f>
        <v>31</v>
      </c>
      <c r="G14" s="13" t="n">
        <f aca="false">J13</f>
        <v>597953.753579473</v>
      </c>
      <c r="H14" s="8" t="n">
        <f aca="false">ROUND(G14*(E14*$E$3+F14*$E$4)/100/365,2)</f>
        <v>3047.11</v>
      </c>
      <c r="I14" s="13" t="n">
        <f aca="false">IF(6=$B$4,G14,$B$6-H14)</f>
        <v>81191.7572841054</v>
      </c>
      <c r="J14" s="13" t="n">
        <f aca="false">G14-I14</f>
        <v>516761.996295368</v>
      </c>
    </row>
    <row r="15" customFormat="false" ht="15" hidden="false" customHeight="false" outlineLevel="0" collapsed="false">
      <c r="A15" s="4" t="n">
        <v>7</v>
      </c>
      <c r="B15" s="21" t="n">
        <f aca="false">EOMONTH($B$5,6)</f>
        <v>46477</v>
      </c>
      <c r="C15" s="21" t="n">
        <f aca="false">EOMONTH($B$5,7)</f>
        <v>46507</v>
      </c>
      <c r="D15" s="4" t="n">
        <f aca="false">C15-B15</f>
        <v>30</v>
      </c>
      <c r="E15" s="4" t="n">
        <f aca="false">MAX(0,MIN(C15,$E$5)-B15)</f>
        <v>0</v>
      </c>
      <c r="F15" s="4" t="n">
        <f aca="false">MAX(0,C15-MAX(B15,$E$5))</f>
        <v>30</v>
      </c>
      <c r="G15" s="13" t="n">
        <f aca="false">J14</f>
        <v>516761.996295368</v>
      </c>
      <c r="H15" s="8" t="n">
        <f aca="false">ROUND(G15*(E15*$E$3+F15*$E$4)/100/365,2)</f>
        <v>2548.42</v>
      </c>
      <c r="I15" s="13" t="n">
        <f aca="false">IF(7=$B$4,G15,$B$6-H15)</f>
        <v>81690.4472841054</v>
      </c>
      <c r="J15" s="13" t="n">
        <f aca="false">G15-I15</f>
        <v>435071.549011262</v>
      </c>
    </row>
    <row r="16" customFormat="false" ht="15" hidden="false" customHeight="false" outlineLevel="0" collapsed="false">
      <c r="A16" s="4" t="n">
        <v>8</v>
      </c>
      <c r="B16" s="21" t="n">
        <f aca="false">EOMONTH($B$5,7)</f>
        <v>46507</v>
      </c>
      <c r="C16" s="21" t="n">
        <f aca="false">EOMONTH($B$5,8)</f>
        <v>46538</v>
      </c>
      <c r="D16" s="4" t="n">
        <f aca="false">C16-B16</f>
        <v>31</v>
      </c>
      <c r="E16" s="4" t="n">
        <f aca="false">MAX(0,MIN(C16,$E$5)-B16)</f>
        <v>0</v>
      </c>
      <c r="F16" s="4" t="n">
        <f aca="false">MAX(0,C16-MAX(B16,$E$5))</f>
        <v>31</v>
      </c>
      <c r="G16" s="13" t="n">
        <f aca="false">J15</f>
        <v>435071.549011262</v>
      </c>
      <c r="H16" s="8" t="n">
        <f aca="false">ROUND(G16*(E16*$E$3+F16*$E$4)/100/365,2)</f>
        <v>2217.08</v>
      </c>
      <c r="I16" s="13" t="n">
        <f aca="false">IF(8=$B$4,G16,$B$6-H16)</f>
        <v>82021.7872841054</v>
      </c>
      <c r="J16" s="13" t="n">
        <f aca="false">G16-I16</f>
        <v>353049.761727157</v>
      </c>
    </row>
    <row r="17" customFormat="false" ht="15" hidden="false" customHeight="false" outlineLevel="0" collapsed="false">
      <c r="A17" s="4" t="n">
        <v>9</v>
      </c>
      <c r="B17" s="21" t="n">
        <f aca="false">EOMONTH($B$5,8)</f>
        <v>46538</v>
      </c>
      <c r="C17" s="21" t="n">
        <f aca="false">EOMONTH($B$5,9)</f>
        <v>46568</v>
      </c>
      <c r="D17" s="4" t="n">
        <f aca="false">C17-B17</f>
        <v>30</v>
      </c>
      <c r="E17" s="4" t="n">
        <f aca="false">MAX(0,MIN(C17,$E$5)-B17)</f>
        <v>0</v>
      </c>
      <c r="F17" s="4" t="n">
        <f aca="false">MAX(0,C17-MAX(B17,$E$5))</f>
        <v>30</v>
      </c>
      <c r="G17" s="13" t="n">
        <f aca="false">J16</f>
        <v>353049.761727157</v>
      </c>
      <c r="H17" s="8" t="n">
        <f aca="false">ROUND(G17*(E17*$E$3+F17*$E$4)/100/365,2)</f>
        <v>1741.07</v>
      </c>
      <c r="I17" s="13" t="n">
        <f aca="false">IF(9=$B$4,G17,$B$6-H17)</f>
        <v>82497.7972841054</v>
      </c>
      <c r="J17" s="13" t="n">
        <f aca="false">G17-I17</f>
        <v>270551.964443051</v>
      </c>
    </row>
    <row r="18" customFormat="false" ht="15" hidden="false" customHeight="false" outlineLevel="0" collapsed="false">
      <c r="A18" s="4" t="n">
        <v>10</v>
      </c>
      <c r="B18" s="21" t="n">
        <f aca="false">EOMONTH($B$5,9)</f>
        <v>46568</v>
      </c>
      <c r="C18" s="21" t="n">
        <f aca="false">EOMONTH($B$5,10)</f>
        <v>46599</v>
      </c>
      <c r="D18" s="4" t="n">
        <f aca="false">C18-B18</f>
        <v>31</v>
      </c>
      <c r="E18" s="4" t="n">
        <f aca="false">MAX(0,MIN(C18,$E$5)-B18)</f>
        <v>0</v>
      </c>
      <c r="F18" s="4" t="n">
        <f aca="false">MAX(0,C18-MAX(B18,$E$5))</f>
        <v>31</v>
      </c>
      <c r="G18" s="13" t="n">
        <f aca="false">J17</f>
        <v>270551.964443051</v>
      </c>
      <c r="H18" s="8" t="n">
        <f aca="false">ROUND(G18*(E18*$E$3+F18*$E$4)/100/365,2)</f>
        <v>1378.7</v>
      </c>
      <c r="I18" s="13" t="n">
        <f aca="false">IF(10=$B$4,G18,$B$6-H18)</f>
        <v>82860.1672841054</v>
      </c>
      <c r="J18" s="13" t="n">
        <f aca="false">G18-I18</f>
        <v>187691.797158946</v>
      </c>
    </row>
    <row r="19" customFormat="false" ht="15" hidden="false" customHeight="false" outlineLevel="0" collapsed="false">
      <c r="A19" s="4" t="n">
        <v>11</v>
      </c>
      <c r="B19" s="21" t="n">
        <f aca="false">EOMONTH($B$5,10)</f>
        <v>46599</v>
      </c>
      <c r="C19" s="21" t="n">
        <f aca="false">EOMONTH($B$5,11)</f>
        <v>46630</v>
      </c>
      <c r="D19" s="4" t="n">
        <f aca="false">C19-B19</f>
        <v>31</v>
      </c>
      <c r="E19" s="4" t="n">
        <f aca="false">MAX(0,MIN(C19,$E$5)-B19)</f>
        <v>0</v>
      </c>
      <c r="F19" s="4" t="n">
        <f aca="false">MAX(0,C19-MAX(B19,$E$5))</f>
        <v>31</v>
      </c>
      <c r="G19" s="13" t="n">
        <f aca="false">J18</f>
        <v>187691.797158946</v>
      </c>
      <c r="H19" s="8" t="n">
        <f aca="false">ROUND(G19*(E19*$E$3+F19*$E$4)/100/365,2)</f>
        <v>956.46</v>
      </c>
      <c r="I19" s="13" t="n">
        <f aca="false">IF(11=$B$4,G19,$B$6-H19)</f>
        <v>83282.4072841054</v>
      </c>
      <c r="J19" s="13" t="n">
        <f aca="false">G19-I19</f>
        <v>104409.38987484</v>
      </c>
    </row>
    <row r="20" customFormat="false" ht="15" hidden="false" customHeight="false" outlineLevel="0" collapsed="false">
      <c r="A20" s="4" t="n">
        <v>12</v>
      </c>
      <c r="B20" s="21" t="n">
        <f aca="false">EOMONTH($B$5,11)</f>
        <v>46630</v>
      </c>
      <c r="C20" s="21" t="n">
        <f aca="false">EOMONTH($B$5,12)</f>
        <v>46660</v>
      </c>
      <c r="D20" s="4" t="n">
        <f aca="false">C20-B20</f>
        <v>30</v>
      </c>
      <c r="E20" s="4" t="n">
        <f aca="false">MAX(0,MIN(C20,$E$5)-B20)</f>
        <v>0</v>
      </c>
      <c r="F20" s="4" t="n">
        <f aca="false">MAX(0,C20-MAX(B20,$E$5))</f>
        <v>30</v>
      </c>
      <c r="G20" s="13" t="n">
        <f aca="false">J19</f>
        <v>104409.38987484</v>
      </c>
      <c r="H20" s="8" t="n">
        <f aca="false">ROUND(G20*(E20*$E$3+F20*$E$4)/100/365,2)</f>
        <v>514.9</v>
      </c>
      <c r="I20" s="13" t="n">
        <f aca="false">IF(12=$B$4,G20,$B$6-H20)</f>
        <v>104409.38987484</v>
      </c>
      <c r="J20" s="13" t="n">
        <f aca="false">G20-I20</f>
        <v>0</v>
      </c>
    </row>
    <row r="21" customFormat="false" ht="15" hidden="false" customHeight="false" outlineLevel="0" collapsed="false">
      <c r="G21" s="9" t="s">
        <v>37</v>
      </c>
      <c r="H21" s="20" t="n">
        <f aca="false">SUM(H9:H20)</f>
        <v>31551.83</v>
      </c>
    </row>
    <row r="23" customFormat="false" ht="11.9" hidden="false" customHeight="false" outlineLevel="0" collapsed="false">
      <c r="A23" s="2" t="s">
        <v>38</v>
      </c>
      <c r="B23" s="2"/>
      <c r="C23" s="2"/>
      <c r="D23" s="2"/>
      <c r="E23" s="2"/>
      <c r="F23" s="2"/>
      <c r="G23" s="2"/>
      <c r="H23" s="2"/>
      <c r="I23" s="2"/>
      <c r="J23" s="2"/>
    </row>
  </sheetData>
  <mergeCells count="2">
    <mergeCell ref="A1:J1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2026-09-29T04:16:08Z</dcterms:created>
  <dc:creator>openpyxl</dc:creator>
  <dc:description/>
  <dc:language>en-US</dc:language>
  <cp:lastModifiedBy/>
  <dcterms:modified xsi:type="dcterms:W3CDTF">2026-09-29T04:16:08Z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