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 vs Arr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1F4E78"/>
    </font>
    <font>
      <i val="1"/>
    </font>
    <font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2" borderId="1" pivotButton="0" quotePrefix="0" xfId="0"/>
    <xf numFmtId="2" fontId="3" fillId="2" borderId="1" pivotButton="0" quotePrefix="0" xfId="0"/>
    <xf numFmtId="1" fontId="3" fillId="2" borderId="1" pivotButton="0" quotePrefix="0" xfId="0"/>
    <xf numFmtId="164" fontId="4" fillId="0" borderId="1" pivotButton="0" quotePrefix="0" xfId="0"/>
    <xf numFmtId="4" fontId="4" fillId="0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LSL-27 · ค่างวด ชำระต้นงวด (advance) เทียบ ชำระปลายงวด (arrears)</t>
        </is>
      </c>
    </row>
    <row r="3">
      <c r="A3" s="2" t="inlineStr">
        <is>
          <t>INPUT (แก้ได้ — ช่องเหลือง)</t>
        </is>
      </c>
    </row>
    <row r="4">
      <c r="A4" t="inlineStr">
        <is>
          <t>Principal (เงินต้น)</t>
        </is>
      </c>
      <c r="B4" s="3" t="n">
        <v>1000000</v>
      </c>
    </row>
    <row r="5">
      <c r="A5" t="inlineStr">
        <is>
          <t>Annual Rate (%)</t>
        </is>
      </c>
      <c r="B5" s="4" t="n">
        <v>10</v>
      </c>
    </row>
    <row r="6">
      <c r="A6" t="inlineStr">
        <is>
          <t>Term (months)</t>
        </is>
      </c>
      <c r="B6" s="5" t="n">
        <v>36</v>
      </c>
    </row>
    <row r="7">
      <c r="A7" t="inlineStr">
        <is>
          <t>Balloon</t>
        </is>
      </c>
      <c r="B7" s="3" t="n">
        <v>0</v>
      </c>
    </row>
    <row r="9">
      <c r="A9" s="2" t="inlineStr">
        <is>
          <t>คำนวณ</t>
        </is>
      </c>
    </row>
    <row r="10">
      <c r="A10" t="inlineStr">
        <is>
          <t>Monthly rate  r = Rate/12/100</t>
        </is>
      </c>
      <c r="B10" s="6">
        <f>B5/12/100</f>
        <v/>
      </c>
    </row>
    <row r="11">
      <c r="A11" t="inlineStr">
        <is>
          <t>ค่างวด ปลายงวด (arrears)  PMT(r,n,-P)+balloon</t>
        </is>
      </c>
      <c r="B11" s="7">
        <f>PMT(B10,B6,-(B4-B7))</f>
        <v/>
      </c>
    </row>
    <row r="12">
      <c r="A12" t="inlineStr">
        <is>
          <t>ค่างวด ต้นงวด (advance)  = arrears ÷ (1+r)</t>
        </is>
      </c>
      <c r="B12" s="7">
        <f>B11/(1+B10)</f>
        <v/>
      </c>
    </row>
    <row r="13">
      <c r="A13" t="inlineStr">
        <is>
          <t>ตรวจซ้ำ ต้นงวด  PMT(type=1)</t>
        </is>
      </c>
      <c r="B13" s="7">
        <f>PMT(B10,B6,-(B4-B7),0,1)</f>
        <v/>
      </c>
    </row>
    <row r="14">
      <c r="A14" t="inlineStr">
        <is>
          <t>ส่วนต่าง (ปลายงวด − ต้นงวด)</t>
        </is>
      </c>
      <c r="B14" s="7">
        <f>B11-B12</f>
        <v/>
      </c>
    </row>
    <row r="15">
      <c r="A15" t="inlineStr">
        <is>
          <t>ต้นงวด &lt; ปลายงวด ?</t>
        </is>
      </c>
      <c r="B15" s="8">
        <f>IF(B12&lt;B11,"ใช่ ✓ ต่ำกว่า","ไม่")</f>
        <v/>
      </c>
    </row>
    <row r="17">
      <c r="A17" s="9" t="inlineStr">
        <is>
          <t>หมายเหตุ: สูตรตรงกับโค้ด lease-calc — arrears = PMT ปกติ · advance = arrears ÷ (1+r) (annuity-due) · HP จ่ายปลายงวดเสมอ</t>
        </is>
      </c>
    </row>
  </sheetData>
  <mergeCells count="2">
    <mergeCell ref="A1:C1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2026-10-06T04:54:31Z</dcterms:created>
  <dcterms:modified xmlns:dcterms="http://purl.org/dc/terms/" xmlns:xsi="http://www.w3.org/2001/XMLSchema-instance" xsi:type="dcterms:W3CDTF">2026-10-06T04:54:31Z</dcterms:modified>
</cp:coreProperties>
</file>