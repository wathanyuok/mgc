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mortization" sheetId="1" state="visible" r:id="rId1"/>
    <sheet xmlns:r="http://schemas.openxmlformats.org/officeDocument/2006/relationships" name="Maturity Profil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7030A0"/>
      <sz val="10"/>
    </font>
    <font>
      <name val="Arial"/>
      <charset val="1"/>
      <family val="0"/>
      <color rgb="FFC55A11"/>
      <sz val="10"/>
    </font>
    <font>
      <name val="Arial"/>
      <charset val="1"/>
      <family val="0"/>
      <color rgb="FF843C0C"/>
      <sz val="10"/>
    </font>
    <font>
      <name val="Arial"/>
      <charset val="1"/>
      <family val="0"/>
      <color rgb="FF548235"/>
      <sz val="10"/>
    </font>
    <font>
      <name val="Arial"/>
      <charset val="1"/>
      <family val="0"/>
      <color rgb="FF2E75B6"/>
      <sz val="10"/>
    </font>
    <font>
      <name val="Arial"/>
      <charset val="1"/>
      <family val="0"/>
      <color rgb="FF808080"/>
      <sz val="10"/>
    </font>
    <font>
      <name val="Arial"/>
      <charset val="1"/>
      <family val="0"/>
      <color rgb="FF999999"/>
      <sz val="8"/>
    </font>
    <font>
      <name val="Arial"/>
      <charset val="1"/>
      <family val="0"/>
      <b val="1"/>
      <sz val="11"/>
    </font>
    <font>
      <name val="Arial"/>
      <b val="1"/>
      <color rgb="001F4E78"/>
      <sz val="10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center"/>
    </xf>
    <xf numFmtId="3" fontId="6" fillId="2" borderId="1" applyAlignment="1" pivotButton="0" quotePrefix="0" xfId="0">
      <alignment horizontal="general" vertical="center"/>
    </xf>
    <xf numFmtId="1" fontId="6" fillId="2" borderId="1" applyAlignment="1" pivotButton="0" quotePrefix="0" xfId="0">
      <alignment horizontal="general" vertical="center"/>
    </xf>
    <xf numFmtId="0" fontId="6" fillId="2" borderId="1" applyAlignment="1" pivotButton="0" quotePrefix="0" xfId="0">
      <alignment horizontal="general" vertical="center"/>
    </xf>
    <xf numFmtId="2" fontId="6" fillId="2" borderId="1" applyAlignment="1" pivotButton="0" quotePrefix="0" xfId="0">
      <alignment horizontal="general" vertical="center"/>
    </xf>
    <xf numFmtId="4" fontId="6" fillId="2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4" fontId="7" fillId="3" borderId="1" applyAlignment="1" pivotButton="0" quotePrefix="0" xfId="0">
      <alignment horizontal="general" vertical="center"/>
    </xf>
    <xf numFmtId="164" fontId="6" fillId="2" borderId="1" applyAlignment="1" pivotButton="0" quotePrefix="0" xfId="0">
      <alignment horizontal="general" vertical="center"/>
    </xf>
    <xf numFmtId="0" fontId="8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general" vertical="center"/>
    </xf>
    <xf numFmtId="4" fontId="5" fillId="0" borderId="1" applyAlignment="1" pivotButton="0" quotePrefix="0" xfId="0">
      <alignment horizontal="general" vertical="center"/>
    </xf>
    <xf numFmtId="4" fontId="9" fillId="0" borderId="1" applyAlignment="1" pivotButton="0" quotePrefix="0" xfId="0">
      <alignment horizontal="general" vertical="center"/>
    </xf>
    <xf numFmtId="4" fontId="7" fillId="0" borderId="1" applyAlignment="1" pivotButton="0" quotePrefix="0" xfId="0">
      <alignment horizontal="general" vertical="center"/>
    </xf>
    <xf numFmtId="4" fontId="10" fillId="0" borderId="1" applyAlignment="1" pivotButton="0" quotePrefix="0" xfId="0">
      <alignment horizontal="general" vertical="center"/>
    </xf>
    <xf numFmtId="4" fontId="11" fillId="0" borderId="1" applyAlignment="1" pivotButton="0" quotePrefix="0" xfId="0">
      <alignment horizontal="general" vertical="center"/>
    </xf>
    <xf numFmtId="4" fontId="12" fillId="0" borderId="1" applyAlignment="1" pivotButton="0" quotePrefix="0" xfId="0">
      <alignment horizontal="general" vertical="center"/>
    </xf>
    <xf numFmtId="4" fontId="13" fillId="0" borderId="1" applyAlignment="1" pivotButton="0" quotePrefix="0" xfId="0">
      <alignment horizontal="general" vertical="center"/>
    </xf>
    <xf numFmtId="4" fontId="14" fillId="0" borderId="1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center"/>
    </xf>
    <xf numFmtId="3" fontId="6" fillId="2" borderId="1" applyAlignment="1" pivotButton="0" quotePrefix="0" xfId="0">
      <alignment horizontal="general" vertical="center"/>
    </xf>
    <xf numFmtId="1" fontId="6" fillId="2" borderId="1" applyAlignment="1" pivotButton="0" quotePrefix="0" xfId="0">
      <alignment horizontal="general" vertical="center"/>
    </xf>
    <xf numFmtId="0" fontId="6" fillId="2" borderId="1" applyAlignment="1" pivotButton="0" quotePrefix="0" xfId="0">
      <alignment horizontal="general" vertical="center"/>
    </xf>
    <xf numFmtId="2" fontId="6" fillId="2" borderId="1" applyAlignment="1" pivotButton="0" quotePrefix="0" xfId="0">
      <alignment horizontal="general" vertical="center"/>
    </xf>
    <xf numFmtId="4" fontId="6" fillId="2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4" fontId="7" fillId="3" borderId="1" applyAlignment="1" pivotButton="0" quotePrefix="0" xfId="0">
      <alignment horizontal="general" vertical="center"/>
    </xf>
    <xf numFmtId="164" fontId="6" fillId="2" borderId="1" applyAlignment="1" pivotButton="0" quotePrefix="0" xfId="0">
      <alignment horizontal="general" vertical="center"/>
    </xf>
    <xf numFmtId="0" fontId="8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general" vertical="center"/>
    </xf>
    <xf numFmtId="4" fontId="5" fillId="0" borderId="1" applyAlignment="1" pivotButton="0" quotePrefix="0" xfId="0">
      <alignment horizontal="general" vertical="center"/>
    </xf>
    <xf numFmtId="4" fontId="9" fillId="0" borderId="1" applyAlignment="1" pivotButton="0" quotePrefix="0" xfId="0">
      <alignment horizontal="general" vertical="center"/>
    </xf>
    <xf numFmtId="4" fontId="7" fillId="0" borderId="1" applyAlignment="1" pivotButton="0" quotePrefix="0" xfId="0">
      <alignment horizontal="general" vertical="center"/>
    </xf>
    <xf numFmtId="4" fontId="10" fillId="0" borderId="1" applyAlignment="1" pivotButton="0" quotePrefix="0" xfId="0">
      <alignment horizontal="general" vertical="center"/>
    </xf>
    <xf numFmtId="4" fontId="11" fillId="0" borderId="1" applyAlignment="1" pivotButton="0" quotePrefix="0" xfId="0">
      <alignment horizontal="general" vertical="center"/>
    </xf>
    <xf numFmtId="4" fontId="12" fillId="0" borderId="1" applyAlignment="1" pivotButton="0" quotePrefix="0" xfId="0">
      <alignment horizontal="general" vertical="center"/>
    </xf>
    <xf numFmtId="4" fontId="13" fillId="0" borderId="1" applyAlignment="1" pivotButton="0" quotePrefix="0" xfId="0">
      <alignment horizontal="general" vertical="center"/>
    </xf>
    <xf numFmtId="4" fontId="14" fillId="0" borderId="1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pivotButton="0" quotePrefix="0" xfId="0"/>
    <xf numFmtId="0" fontId="18" fillId="0" borderId="0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99999"/>
      <rgbColor rgb="FF003366"/>
      <rgbColor rgb="FF339966"/>
      <rgbColor rgb="FF003300"/>
      <rgbColor rgb="FF333300"/>
      <rgbColor rgb="FF843C0C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5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24" min="1" max="1"/>
    <col width="12" customWidth="1" style="24" min="2" max="3"/>
    <col width="10" customWidth="1" style="24" min="4" max="4"/>
    <col width="13" customWidth="1" style="24" min="5" max="5"/>
    <col width="11" customWidth="1" style="24" min="6" max="6"/>
    <col width="13" customWidth="1" style="24" min="7" max="9"/>
    <col width="12" customWidth="1" style="24" min="10" max="10"/>
    <col width="13" customWidth="1" style="24" min="11" max="12"/>
    <col width="12" customWidth="1" style="24" min="13" max="13"/>
    <col width="5" customWidth="1" style="24" min="15" max="15"/>
  </cols>
  <sheetData>
    <row r="1" ht="15" customHeight="1" s="25">
      <c r="A1" s="26" t="inlineStr">
        <is>
          <t>HP-DEMO-001 — Amortization Schedule (เช่าซื้อรถ วิธี gross)</t>
        </is>
      </c>
    </row>
    <row r="3" ht="15" customHeight="1" s="25">
      <c r="A3" s="27" t="inlineStr">
        <is>
          <t>PRINCIPAL (เงินต้น)</t>
        </is>
      </c>
      <c r="B3" s="28" t="n">
        <v>1000000</v>
      </c>
      <c r="D3" s="27" t="inlineStr">
        <is>
          <t>VAT (%)</t>
        </is>
      </c>
      <c r="E3" s="29" t="n">
        <v>7</v>
      </c>
      <c r="G3" s="27" t="inlineStr">
        <is>
          <t>ROU LIFE (เดือน)</t>
        </is>
      </c>
      <c r="H3" s="30" t="n">
        <v>48</v>
      </c>
    </row>
    <row r="4" ht="15" customHeight="1" s="25">
      <c r="A4" s="27" t="inlineStr">
        <is>
          <t>RATE / YEAR (%)</t>
        </is>
      </c>
      <c r="B4" s="31" t="n">
        <v>5</v>
      </c>
      <c r="D4" s="27" t="inlineStr">
        <is>
          <t>INSTALLMENT (จากระบบ)</t>
        </is>
      </c>
      <c r="E4" s="32" t="n">
        <v>23029.29</v>
      </c>
      <c r="G4" s="33" t="inlineStr">
        <is>
          <t>ดอกเบี้ยรวมทั้งสัญญา</t>
        </is>
      </c>
      <c r="H4" s="34">
        <f>SUM(F10:F57)</f>
        <v/>
      </c>
    </row>
    <row r="5" ht="15" customHeight="1" s="25">
      <c r="A5" s="27" t="inlineStr">
        <is>
          <t>TERM (MONTHS)</t>
        </is>
      </c>
      <c r="B5" s="30" t="n">
        <v>48</v>
      </c>
      <c r="D5" s="27" t="inlineStr">
        <is>
          <t>PAYMENT START DATE</t>
        </is>
      </c>
      <c r="E5" s="35" t="n">
        <v>46295</v>
      </c>
      <c r="G5" s="33" t="inlineStr">
        <is>
          <t>VAT รวมทั้งสัญญา</t>
        </is>
      </c>
      <c r="H5" s="34">
        <f>SUM(D10:D57)</f>
        <v/>
      </c>
    </row>
    <row r="9" ht="23.85" customHeight="1" s="25">
      <c r="A9" s="36" t="inlineStr">
        <is>
          <t>#</t>
        </is>
      </c>
      <c r="B9" s="36" t="inlineStr">
        <is>
          <t>PAYMENT DATE</t>
        </is>
      </c>
      <c r="C9" s="36" t="inlineStr">
        <is>
          <t>INSTALLMENT</t>
        </is>
      </c>
      <c r="D9" s="36" t="inlineStr">
        <is>
          <t>VAT</t>
        </is>
      </c>
      <c r="E9" s="36" t="inlineStr">
        <is>
          <t>TOTAL INC. VAT</t>
        </is>
      </c>
      <c r="F9" s="36" t="inlineStr">
        <is>
          <t>INTEREST</t>
        </is>
      </c>
      <c r="G9" s="36" t="inlineStr">
        <is>
          <t>ACCUM. INTEREST</t>
        </is>
      </c>
      <c r="H9" s="36" t="inlineStr">
        <is>
          <t>AMORTISATION</t>
        </is>
      </c>
      <c r="I9" s="36" t="inlineStr">
        <is>
          <t>BALANCE</t>
        </is>
      </c>
      <c r="J9" s="36" t="inlineStr">
        <is>
          <t>DEPRECIATION</t>
        </is>
      </c>
      <c r="K9" s="36" t="inlineStr">
        <is>
          <t>ROU BALANCE</t>
        </is>
      </c>
      <c r="L9" s="36" t="inlineStr">
        <is>
          <t>DEFERRED INT. BAL</t>
        </is>
      </c>
      <c r="M9" s="36" t="inlineStr">
        <is>
          <t>VAT BALANCE</t>
        </is>
      </c>
    </row>
    <row r="10" ht="15" customHeight="1" s="25">
      <c r="A10" s="27" t="n">
        <v>1</v>
      </c>
      <c r="B10" s="37">
        <f>EOMONTH($E$5,1)</f>
        <v/>
      </c>
      <c r="C10" s="38">
        <f>IF(1=$B$5,I9+F10,$E$4)</f>
        <v/>
      </c>
      <c r="D10" s="39">
        <f>ROUND(C10*$E$3/100,2)</f>
        <v/>
      </c>
      <c r="E10" s="40">
        <f>C10+D10</f>
        <v/>
      </c>
      <c r="F10" s="41">
        <f>ROUND($B$3*$B$4/100*O10/365,2)</f>
        <v/>
      </c>
      <c r="G10" s="42">
        <f>IF(1=1,F10,G9+F10)</f>
        <v/>
      </c>
      <c r="H10" s="43">
        <f>C10-F10</f>
        <v/>
      </c>
      <c r="I10" s="38">
        <f>$B$3-H10</f>
        <v/>
      </c>
      <c r="J10" s="44">
        <f>ROUND($B$3/$H$3,2)</f>
        <v/>
      </c>
      <c r="K10" s="44">
        <f>$B$3-J10</f>
        <v/>
      </c>
      <c r="L10" s="45">
        <f>$H$4-G10</f>
        <v/>
      </c>
      <c r="M10" s="45">
        <f>ROUND($H$5-SUM($D$10:D10),2)</f>
        <v/>
      </c>
      <c r="O10" s="46">
        <f>B10-$E$5</f>
        <v/>
      </c>
    </row>
    <row r="11" ht="15" customHeight="1" s="25">
      <c r="A11" s="27" t="n">
        <v>2</v>
      </c>
      <c r="B11" s="37">
        <f>EOMONTH($E$5,2)</f>
        <v/>
      </c>
      <c r="C11" s="38">
        <f>IF(2=$B$5,I10+F11,$E$4)</f>
        <v/>
      </c>
      <c r="D11" s="39">
        <f>ROUND(C11*$E$3/100,2)</f>
        <v/>
      </c>
      <c r="E11" s="40">
        <f>C11+D11</f>
        <v/>
      </c>
      <c r="F11" s="41">
        <f>ROUND(I10*$B$4/100*O11/365,2)</f>
        <v/>
      </c>
      <c r="G11" s="42">
        <f>IF(2=1,F11,G10+F11)</f>
        <v/>
      </c>
      <c r="H11" s="43">
        <f>C11-F11</f>
        <v/>
      </c>
      <c r="I11" s="38">
        <f>I10-H11</f>
        <v/>
      </c>
      <c r="J11" s="44">
        <f>ROUND($B$3/$H$3,2)</f>
        <v/>
      </c>
      <c r="K11" s="44">
        <f>K10-J11</f>
        <v/>
      </c>
      <c r="L11" s="45">
        <f>$H$4-G11</f>
        <v/>
      </c>
      <c r="M11" s="45">
        <f>ROUND($H$5-SUM($D$10:D11),2)</f>
        <v/>
      </c>
      <c r="O11" s="46">
        <f>B11-B10</f>
        <v/>
      </c>
    </row>
    <row r="12" ht="15" customHeight="1" s="25">
      <c r="A12" s="27" t="n">
        <v>3</v>
      </c>
      <c r="B12" s="37">
        <f>EOMONTH($E$5,3)</f>
        <v/>
      </c>
      <c r="C12" s="38">
        <f>IF(3=$B$5,I11+F12,$E$4)</f>
        <v/>
      </c>
      <c r="D12" s="39">
        <f>ROUND(C12*$E$3/100,2)</f>
        <v/>
      </c>
      <c r="E12" s="40">
        <f>C12+D12</f>
        <v/>
      </c>
      <c r="F12" s="41">
        <f>ROUND(I11*$B$4/100*O12/365,2)</f>
        <v/>
      </c>
      <c r="G12" s="42">
        <f>IF(3=1,F12,G11+F12)</f>
        <v/>
      </c>
      <c r="H12" s="43">
        <f>C12-F12</f>
        <v/>
      </c>
      <c r="I12" s="38">
        <f>I11-H12</f>
        <v/>
      </c>
      <c r="J12" s="44">
        <f>ROUND($B$3/$H$3,2)</f>
        <v/>
      </c>
      <c r="K12" s="44">
        <f>K11-J12</f>
        <v/>
      </c>
      <c r="L12" s="45">
        <f>$H$4-G12</f>
        <v/>
      </c>
      <c r="M12" s="45">
        <f>ROUND($H$5-SUM($D$10:D12),2)</f>
        <v/>
      </c>
      <c r="O12" s="46">
        <f>B12-B11</f>
        <v/>
      </c>
    </row>
    <row r="13" ht="15" customHeight="1" s="25">
      <c r="A13" s="27" t="n">
        <v>4</v>
      </c>
      <c r="B13" s="37">
        <f>EOMONTH($E$5,4)</f>
        <v/>
      </c>
      <c r="C13" s="38">
        <f>IF(4=$B$5,I12+F13,$E$4)</f>
        <v/>
      </c>
      <c r="D13" s="39">
        <f>ROUND(C13*$E$3/100,2)</f>
        <v/>
      </c>
      <c r="E13" s="40">
        <f>C13+D13</f>
        <v/>
      </c>
      <c r="F13" s="41">
        <f>ROUND(I12*$B$4/100*O13/365,2)</f>
        <v/>
      </c>
      <c r="G13" s="42">
        <f>IF(4=1,F13,G12+F13)</f>
        <v/>
      </c>
      <c r="H13" s="43">
        <f>C13-F13</f>
        <v/>
      </c>
      <c r="I13" s="38">
        <f>I12-H13</f>
        <v/>
      </c>
      <c r="J13" s="44">
        <f>ROUND($B$3/$H$3,2)</f>
        <v/>
      </c>
      <c r="K13" s="44">
        <f>K12-J13</f>
        <v/>
      </c>
      <c r="L13" s="45">
        <f>$H$4-G13</f>
        <v/>
      </c>
      <c r="M13" s="45">
        <f>ROUND($H$5-SUM($D$10:D13),2)</f>
        <v/>
      </c>
      <c r="O13" s="46">
        <f>B13-B12</f>
        <v/>
      </c>
    </row>
    <row r="14" ht="15" customHeight="1" s="25">
      <c r="A14" s="27" t="n">
        <v>5</v>
      </c>
      <c r="B14" s="37">
        <f>EOMONTH($E$5,5)</f>
        <v/>
      </c>
      <c r="C14" s="38">
        <f>IF(5=$B$5,I13+F14,$E$4)</f>
        <v/>
      </c>
      <c r="D14" s="39">
        <f>ROUND(C14*$E$3/100,2)</f>
        <v/>
      </c>
      <c r="E14" s="40">
        <f>C14+D14</f>
        <v/>
      </c>
      <c r="F14" s="41">
        <f>ROUND(I13*$B$4/100*O14/365,2)</f>
        <v/>
      </c>
      <c r="G14" s="42">
        <f>IF(5=1,F14,G13+F14)</f>
        <v/>
      </c>
      <c r="H14" s="43">
        <f>C14-F14</f>
        <v/>
      </c>
      <c r="I14" s="38">
        <f>I13-H14</f>
        <v/>
      </c>
      <c r="J14" s="44">
        <f>ROUND($B$3/$H$3,2)</f>
        <v/>
      </c>
      <c r="K14" s="44">
        <f>K13-J14</f>
        <v/>
      </c>
      <c r="L14" s="45">
        <f>$H$4-G14</f>
        <v/>
      </c>
      <c r="M14" s="45">
        <f>ROUND($H$5-SUM($D$10:D14),2)</f>
        <v/>
      </c>
      <c r="O14" s="46">
        <f>B14-B13</f>
        <v/>
      </c>
    </row>
    <row r="15" ht="15" customHeight="1" s="25">
      <c r="A15" s="27" t="n">
        <v>6</v>
      </c>
      <c r="B15" s="37">
        <f>EOMONTH($E$5,6)</f>
        <v/>
      </c>
      <c r="C15" s="38">
        <f>IF(6=$B$5,I14+F15,$E$4)</f>
        <v/>
      </c>
      <c r="D15" s="39">
        <f>ROUND(C15*$E$3/100,2)</f>
        <v/>
      </c>
      <c r="E15" s="40">
        <f>C15+D15</f>
        <v/>
      </c>
      <c r="F15" s="41">
        <f>ROUND(I14*$B$4/100*O15/365,2)</f>
        <v/>
      </c>
      <c r="G15" s="42">
        <f>IF(6=1,F15,G14+F15)</f>
        <v/>
      </c>
      <c r="H15" s="43">
        <f>C15-F15</f>
        <v/>
      </c>
      <c r="I15" s="38">
        <f>I14-H15</f>
        <v/>
      </c>
      <c r="J15" s="44">
        <f>ROUND($B$3/$H$3,2)</f>
        <v/>
      </c>
      <c r="K15" s="44">
        <f>K14-J15</f>
        <v/>
      </c>
      <c r="L15" s="45">
        <f>$H$4-G15</f>
        <v/>
      </c>
      <c r="M15" s="45">
        <f>ROUND($H$5-SUM($D$10:D15),2)</f>
        <v/>
      </c>
      <c r="O15" s="46">
        <f>B15-B14</f>
        <v/>
      </c>
    </row>
    <row r="16" ht="15" customHeight="1" s="25">
      <c r="A16" s="27" t="n">
        <v>7</v>
      </c>
      <c r="B16" s="37">
        <f>EOMONTH($E$5,7)</f>
        <v/>
      </c>
      <c r="C16" s="38">
        <f>IF(7=$B$5,I15+F16,$E$4)</f>
        <v/>
      </c>
      <c r="D16" s="39">
        <f>ROUND(C16*$E$3/100,2)</f>
        <v/>
      </c>
      <c r="E16" s="40">
        <f>C16+D16</f>
        <v/>
      </c>
      <c r="F16" s="41">
        <f>ROUND(I15*$B$4/100*O16/365,2)</f>
        <v/>
      </c>
      <c r="G16" s="42">
        <f>IF(7=1,F16,G15+F16)</f>
        <v/>
      </c>
      <c r="H16" s="43">
        <f>C16-F16</f>
        <v/>
      </c>
      <c r="I16" s="38">
        <f>I15-H16</f>
        <v/>
      </c>
      <c r="J16" s="44">
        <f>ROUND($B$3/$H$3,2)</f>
        <v/>
      </c>
      <c r="K16" s="44">
        <f>K15-J16</f>
        <v/>
      </c>
      <c r="L16" s="45">
        <f>$H$4-G16</f>
        <v/>
      </c>
      <c r="M16" s="45">
        <f>ROUND($H$5-SUM($D$10:D16),2)</f>
        <v/>
      </c>
      <c r="O16" s="46">
        <f>B16-B15</f>
        <v/>
      </c>
    </row>
    <row r="17" ht="15" customHeight="1" s="25">
      <c r="A17" s="27" t="n">
        <v>8</v>
      </c>
      <c r="B17" s="37">
        <f>EOMONTH($E$5,8)</f>
        <v/>
      </c>
      <c r="C17" s="38">
        <f>IF(8=$B$5,I16+F17,$E$4)</f>
        <v/>
      </c>
      <c r="D17" s="39">
        <f>ROUND(C17*$E$3/100,2)</f>
        <v/>
      </c>
      <c r="E17" s="40">
        <f>C17+D17</f>
        <v/>
      </c>
      <c r="F17" s="41">
        <f>ROUND(I16*$B$4/100*O17/365,2)</f>
        <v/>
      </c>
      <c r="G17" s="42">
        <f>IF(8=1,F17,G16+F17)</f>
        <v/>
      </c>
      <c r="H17" s="43">
        <f>C17-F17</f>
        <v/>
      </c>
      <c r="I17" s="38">
        <f>I16-H17</f>
        <v/>
      </c>
      <c r="J17" s="44">
        <f>ROUND($B$3/$H$3,2)</f>
        <v/>
      </c>
      <c r="K17" s="44">
        <f>K16-J17</f>
        <v/>
      </c>
      <c r="L17" s="45">
        <f>$H$4-G17</f>
        <v/>
      </c>
      <c r="M17" s="45">
        <f>ROUND($H$5-SUM($D$10:D17),2)</f>
        <v/>
      </c>
      <c r="O17" s="46">
        <f>B17-B16</f>
        <v/>
      </c>
    </row>
    <row r="18" ht="15" customHeight="1" s="25">
      <c r="A18" s="27" t="n">
        <v>9</v>
      </c>
      <c r="B18" s="37">
        <f>EOMONTH($E$5,9)</f>
        <v/>
      </c>
      <c r="C18" s="38">
        <f>IF(9=$B$5,I17+F18,$E$4)</f>
        <v/>
      </c>
      <c r="D18" s="39">
        <f>ROUND(C18*$E$3/100,2)</f>
        <v/>
      </c>
      <c r="E18" s="40">
        <f>C18+D18</f>
        <v/>
      </c>
      <c r="F18" s="41">
        <f>ROUND(I17*$B$4/100*O18/365,2)</f>
        <v/>
      </c>
      <c r="G18" s="42">
        <f>IF(9=1,F18,G17+F18)</f>
        <v/>
      </c>
      <c r="H18" s="43">
        <f>C18-F18</f>
        <v/>
      </c>
      <c r="I18" s="38">
        <f>I17-H18</f>
        <v/>
      </c>
      <c r="J18" s="44">
        <f>ROUND($B$3/$H$3,2)</f>
        <v/>
      </c>
      <c r="K18" s="44">
        <f>K17-J18</f>
        <v/>
      </c>
      <c r="L18" s="45">
        <f>$H$4-G18</f>
        <v/>
      </c>
      <c r="M18" s="45">
        <f>ROUND($H$5-SUM($D$10:D18),2)</f>
        <v/>
      </c>
      <c r="O18" s="46">
        <f>B18-B17</f>
        <v/>
      </c>
    </row>
    <row r="19" ht="15" customHeight="1" s="25">
      <c r="A19" s="27" t="n">
        <v>10</v>
      </c>
      <c r="B19" s="37">
        <f>EOMONTH($E$5,10)</f>
        <v/>
      </c>
      <c r="C19" s="38">
        <f>IF(10=$B$5,I18+F19,$E$4)</f>
        <v/>
      </c>
      <c r="D19" s="39">
        <f>ROUND(C19*$E$3/100,2)</f>
        <v/>
      </c>
      <c r="E19" s="40">
        <f>C19+D19</f>
        <v/>
      </c>
      <c r="F19" s="41">
        <f>ROUND(I18*$B$4/100*O19/365,2)</f>
        <v/>
      </c>
      <c r="G19" s="42">
        <f>IF(10=1,F19,G18+F19)</f>
        <v/>
      </c>
      <c r="H19" s="43">
        <f>C19-F19</f>
        <v/>
      </c>
      <c r="I19" s="38">
        <f>I18-H19</f>
        <v/>
      </c>
      <c r="J19" s="44">
        <f>ROUND($B$3/$H$3,2)</f>
        <v/>
      </c>
      <c r="K19" s="44">
        <f>K18-J19</f>
        <v/>
      </c>
      <c r="L19" s="45">
        <f>$H$4-G19</f>
        <v/>
      </c>
      <c r="M19" s="45">
        <f>ROUND($H$5-SUM($D$10:D19),2)</f>
        <v/>
      </c>
      <c r="O19" s="46">
        <f>B19-B18</f>
        <v/>
      </c>
    </row>
    <row r="20" ht="15" customHeight="1" s="25">
      <c r="A20" s="27" t="n">
        <v>11</v>
      </c>
      <c r="B20" s="37">
        <f>EOMONTH($E$5,11)</f>
        <v/>
      </c>
      <c r="C20" s="38">
        <f>IF(11=$B$5,I19+F20,$E$4)</f>
        <v/>
      </c>
      <c r="D20" s="39">
        <f>ROUND(C20*$E$3/100,2)</f>
        <v/>
      </c>
      <c r="E20" s="40">
        <f>C20+D20</f>
        <v/>
      </c>
      <c r="F20" s="41">
        <f>ROUND(I19*$B$4/100*O20/365,2)</f>
        <v/>
      </c>
      <c r="G20" s="42">
        <f>IF(11=1,F20,G19+F20)</f>
        <v/>
      </c>
      <c r="H20" s="43">
        <f>C20-F20</f>
        <v/>
      </c>
      <c r="I20" s="38">
        <f>I19-H20</f>
        <v/>
      </c>
      <c r="J20" s="44">
        <f>ROUND($B$3/$H$3,2)</f>
        <v/>
      </c>
      <c r="K20" s="44">
        <f>K19-J20</f>
        <v/>
      </c>
      <c r="L20" s="45">
        <f>$H$4-G20</f>
        <v/>
      </c>
      <c r="M20" s="45">
        <f>ROUND($H$5-SUM($D$10:D20),2)</f>
        <v/>
      </c>
      <c r="O20" s="46">
        <f>B20-B19</f>
        <v/>
      </c>
    </row>
    <row r="21" ht="15" customHeight="1" s="25">
      <c r="A21" s="27" t="n">
        <v>12</v>
      </c>
      <c r="B21" s="37">
        <f>EOMONTH($E$5,12)</f>
        <v/>
      </c>
      <c r="C21" s="38">
        <f>IF(12=$B$5,I20+F21,$E$4)</f>
        <v/>
      </c>
      <c r="D21" s="39">
        <f>ROUND(C21*$E$3/100,2)</f>
        <v/>
      </c>
      <c r="E21" s="40">
        <f>C21+D21</f>
        <v/>
      </c>
      <c r="F21" s="41">
        <f>ROUND(I20*$B$4/100*O21/365,2)</f>
        <v/>
      </c>
      <c r="G21" s="42">
        <f>IF(12=1,F21,G20+F21)</f>
        <v/>
      </c>
      <c r="H21" s="43">
        <f>C21-F21</f>
        <v/>
      </c>
      <c r="I21" s="38">
        <f>I20-H21</f>
        <v/>
      </c>
      <c r="J21" s="44">
        <f>ROUND($B$3/$H$3,2)</f>
        <v/>
      </c>
      <c r="K21" s="44">
        <f>K20-J21</f>
        <v/>
      </c>
      <c r="L21" s="45">
        <f>$H$4-G21</f>
        <v/>
      </c>
      <c r="M21" s="45">
        <f>ROUND($H$5-SUM($D$10:D21),2)</f>
        <v/>
      </c>
      <c r="O21" s="46">
        <f>B21-B20</f>
        <v/>
      </c>
    </row>
    <row r="22" ht="15" customHeight="1" s="25">
      <c r="A22" s="27" t="n">
        <v>13</v>
      </c>
      <c r="B22" s="37">
        <f>EOMONTH($E$5,13)</f>
        <v/>
      </c>
      <c r="C22" s="38">
        <f>IF(13=$B$5,I21+F22,$E$4)</f>
        <v/>
      </c>
      <c r="D22" s="39">
        <f>ROUND(C22*$E$3/100,2)</f>
        <v/>
      </c>
      <c r="E22" s="40">
        <f>C22+D22</f>
        <v/>
      </c>
      <c r="F22" s="41">
        <f>ROUND(I21*$B$4/100*O22/365,2)</f>
        <v/>
      </c>
      <c r="G22" s="42">
        <f>IF(13=1,F22,G21+F22)</f>
        <v/>
      </c>
      <c r="H22" s="43">
        <f>C22-F22</f>
        <v/>
      </c>
      <c r="I22" s="38">
        <f>I21-H22</f>
        <v/>
      </c>
      <c r="J22" s="44">
        <f>ROUND($B$3/$H$3,2)</f>
        <v/>
      </c>
      <c r="K22" s="44">
        <f>K21-J22</f>
        <v/>
      </c>
      <c r="L22" s="45">
        <f>$H$4-G22</f>
        <v/>
      </c>
      <c r="M22" s="45">
        <f>ROUND($H$5-SUM($D$10:D22),2)</f>
        <v/>
      </c>
      <c r="O22" s="46">
        <f>B22-B21</f>
        <v/>
      </c>
    </row>
    <row r="23" ht="15" customHeight="1" s="25">
      <c r="A23" s="27" t="n">
        <v>14</v>
      </c>
      <c r="B23" s="37">
        <f>EOMONTH($E$5,14)</f>
        <v/>
      </c>
      <c r="C23" s="38">
        <f>IF(14=$B$5,I22+F23,$E$4)</f>
        <v/>
      </c>
      <c r="D23" s="39">
        <f>ROUND(C23*$E$3/100,2)</f>
        <v/>
      </c>
      <c r="E23" s="40">
        <f>C23+D23</f>
        <v/>
      </c>
      <c r="F23" s="41">
        <f>ROUND(I22*$B$4/100*O23/365,2)</f>
        <v/>
      </c>
      <c r="G23" s="42">
        <f>IF(14=1,F23,G22+F23)</f>
        <v/>
      </c>
      <c r="H23" s="43">
        <f>C23-F23</f>
        <v/>
      </c>
      <c r="I23" s="38">
        <f>I22-H23</f>
        <v/>
      </c>
      <c r="J23" s="44">
        <f>ROUND($B$3/$H$3,2)</f>
        <v/>
      </c>
      <c r="K23" s="44">
        <f>K22-J23</f>
        <v/>
      </c>
      <c r="L23" s="45">
        <f>$H$4-G23</f>
        <v/>
      </c>
      <c r="M23" s="45">
        <f>ROUND($H$5-SUM($D$10:D23),2)</f>
        <v/>
      </c>
      <c r="O23" s="46">
        <f>B23-B22</f>
        <v/>
      </c>
    </row>
    <row r="24" ht="15" customHeight="1" s="25">
      <c r="A24" s="27" t="n">
        <v>15</v>
      </c>
      <c r="B24" s="37">
        <f>EOMONTH($E$5,15)</f>
        <v/>
      </c>
      <c r="C24" s="38">
        <f>IF(15=$B$5,I23+F24,$E$4)</f>
        <v/>
      </c>
      <c r="D24" s="39">
        <f>ROUND(C24*$E$3/100,2)</f>
        <v/>
      </c>
      <c r="E24" s="40">
        <f>C24+D24</f>
        <v/>
      </c>
      <c r="F24" s="41">
        <f>ROUND(I23*$B$4/100*O24/365,2)</f>
        <v/>
      </c>
      <c r="G24" s="42">
        <f>IF(15=1,F24,G23+F24)</f>
        <v/>
      </c>
      <c r="H24" s="43">
        <f>C24-F24</f>
        <v/>
      </c>
      <c r="I24" s="38">
        <f>I23-H24</f>
        <v/>
      </c>
      <c r="J24" s="44">
        <f>ROUND($B$3/$H$3,2)</f>
        <v/>
      </c>
      <c r="K24" s="44">
        <f>K23-J24</f>
        <v/>
      </c>
      <c r="L24" s="45">
        <f>$H$4-G24</f>
        <v/>
      </c>
      <c r="M24" s="45">
        <f>ROUND($H$5-SUM($D$10:D24),2)</f>
        <v/>
      </c>
      <c r="O24" s="46">
        <f>B24-B23</f>
        <v/>
      </c>
    </row>
    <row r="25" ht="15" customHeight="1" s="25">
      <c r="A25" s="27" t="n">
        <v>16</v>
      </c>
      <c r="B25" s="37">
        <f>EOMONTH($E$5,16)</f>
        <v/>
      </c>
      <c r="C25" s="38">
        <f>IF(16=$B$5,I24+F25,$E$4)</f>
        <v/>
      </c>
      <c r="D25" s="39">
        <f>ROUND(C25*$E$3/100,2)</f>
        <v/>
      </c>
      <c r="E25" s="40">
        <f>C25+D25</f>
        <v/>
      </c>
      <c r="F25" s="41">
        <f>ROUND(I24*$B$4/100*O25/365,2)</f>
        <v/>
      </c>
      <c r="G25" s="42">
        <f>IF(16=1,F25,G24+F25)</f>
        <v/>
      </c>
      <c r="H25" s="43">
        <f>C25-F25</f>
        <v/>
      </c>
      <c r="I25" s="38">
        <f>I24-H25</f>
        <v/>
      </c>
      <c r="J25" s="44">
        <f>ROUND($B$3/$H$3,2)</f>
        <v/>
      </c>
      <c r="K25" s="44">
        <f>K24-J25</f>
        <v/>
      </c>
      <c r="L25" s="45">
        <f>$H$4-G25</f>
        <v/>
      </c>
      <c r="M25" s="45">
        <f>ROUND($H$5-SUM($D$10:D25),2)</f>
        <v/>
      </c>
      <c r="O25" s="46">
        <f>B25-B24</f>
        <v/>
      </c>
    </row>
    <row r="26" ht="15" customHeight="1" s="25">
      <c r="A26" s="27" t="n">
        <v>17</v>
      </c>
      <c r="B26" s="37">
        <f>EOMONTH($E$5,17)</f>
        <v/>
      </c>
      <c r="C26" s="38">
        <f>IF(17=$B$5,I25+F26,$E$4)</f>
        <v/>
      </c>
      <c r="D26" s="39">
        <f>ROUND(C26*$E$3/100,2)</f>
        <v/>
      </c>
      <c r="E26" s="40">
        <f>C26+D26</f>
        <v/>
      </c>
      <c r="F26" s="41">
        <f>ROUND(I25*$B$4/100*O26/365,2)</f>
        <v/>
      </c>
      <c r="G26" s="42">
        <f>IF(17=1,F26,G25+F26)</f>
        <v/>
      </c>
      <c r="H26" s="43">
        <f>C26-F26</f>
        <v/>
      </c>
      <c r="I26" s="38">
        <f>I25-H26</f>
        <v/>
      </c>
      <c r="J26" s="44">
        <f>ROUND($B$3/$H$3,2)</f>
        <v/>
      </c>
      <c r="K26" s="44">
        <f>K25-J26</f>
        <v/>
      </c>
      <c r="L26" s="45">
        <f>$H$4-G26</f>
        <v/>
      </c>
      <c r="M26" s="45">
        <f>ROUND($H$5-SUM($D$10:D26),2)</f>
        <v/>
      </c>
      <c r="O26" s="46">
        <f>B26-B25</f>
        <v/>
      </c>
    </row>
    <row r="27" ht="15" customHeight="1" s="25">
      <c r="A27" s="27" t="n">
        <v>18</v>
      </c>
      <c r="B27" s="37">
        <f>EOMONTH($E$5,18)</f>
        <v/>
      </c>
      <c r="C27" s="38">
        <f>IF(18=$B$5,I26+F27,$E$4)</f>
        <v/>
      </c>
      <c r="D27" s="39">
        <f>ROUND(C27*$E$3/100,2)</f>
        <v/>
      </c>
      <c r="E27" s="40">
        <f>C27+D27</f>
        <v/>
      </c>
      <c r="F27" s="41">
        <f>ROUND(I26*$B$4/100*O27/365,2)</f>
        <v/>
      </c>
      <c r="G27" s="42">
        <f>IF(18=1,F27,G26+F27)</f>
        <v/>
      </c>
      <c r="H27" s="43">
        <f>C27-F27</f>
        <v/>
      </c>
      <c r="I27" s="38">
        <f>I26-H27</f>
        <v/>
      </c>
      <c r="J27" s="44">
        <f>ROUND($B$3/$H$3,2)</f>
        <v/>
      </c>
      <c r="K27" s="44">
        <f>K26-J27</f>
        <v/>
      </c>
      <c r="L27" s="45">
        <f>$H$4-G27</f>
        <v/>
      </c>
      <c r="M27" s="45">
        <f>ROUND($H$5-SUM($D$10:D27),2)</f>
        <v/>
      </c>
      <c r="O27" s="46">
        <f>B27-B26</f>
        <v/>
      </c>
    </row>
    <row r="28" ht="15" customHeight="1" s="25">
      <c r="A28" s="27" t="n">
        <v>19</v>
      </c>
      <c r="B28" s="37">
        <f>EOMONTH($E$5,19)</f>
        <v/>
      </c>
      <c r="C28" s="38">
        <f>IF(19=$B$5,I27+F28,$E$4)</f>
        <v/>
      </c>
      <c r="D28" s="39">
        <f>ROUND(C28*$E$3/100,2)</f>
        <v/>
      </c>
      <c r="E28" s="40">
        <f>C28+D28</f>
        <v/>
      </c>
      <c r="F28" s="41">
        <f>ROUND(I27*$B$4/100*O28/365,2)</f>
        <v/>
      </c>
      <c r="G28" s="42">
        <f>IF(19=1,F28,G27+F28)</f>
        <v/>
      </c>
      <c r="H28" s="43">
        <f>C28-F28</f>
        <v/>
      </c>
      <c r="I28" s="38">
        <f>I27-H28</f>
        <v/>
      </c>
      <c r="J28" s="44">
        <f>ROUND($B$3/$H$3,2)</f>
        <v/>
      </c>
      <c r="K28" s="44">
        <f>K27-J28</f>
        <v/>
      </c>
      <c r="L28" s="45">
        <f>$H$4-G28</f>
        <v/>
      </c>
      <c r="M28" s="45">
        <f>ROUND($H$5-SUM($D$10:D28),2)</f>
        <v/>
      </c>
      <c r="O28" s="46">
        <f>B28-B27</f>
        <v/>
      </c>
    </row>
    <row r="29" ht="15" customHeight="1" s="25">
      <c r="A29" s="27" t="n">
        <v>20</v>
      </c>
      <c r="B29" s="37">
        <f>EOMONTH($E$5,20)</f>
        <v/>
      </c>
      <c r="C29" s="38">
        <f>IF(20=$B$5,I28+F29,$E$4)</f>
        <v/>
      </c>
      <c r="D29" s="39">
        <f>ROUND(C29*$E$3/100,2)</f>
        <v/>
      </c>
      <c r="E29" s="40">
        <f>C29+D29</f>
        <v/>
      </c>
      <c r="F29" s="41">
        <f>ROUND(I28*$B$4/100*O29/365,2)</f>
        <v/>
      </c>
      <c r="G29" s="42">
        <f>IF(20=1,F29,G28+F29)</f>
        <v/>
      </c>
      <c r="H29" s="43">
        <f>C29-F29</f>
        <v/>
      </c>
      <c r="I29" s="38">
        <f>I28-H29</f>
        <v/>
      </c>
      <c r="J29" s="44">
        <f>ROUND($B$3/$H$3,2)</f>
        <v/>
      </c>
      <c r="K29" s="44">
        <f>K28-J29</f>
        <v/>
      </c>
      <c r="L29" s="45">
        <f>$H$4-G29</f>
        <v/>
      </c>
      <c r="M29" s="45">
        <f>ROUND($H$5-SUM($D$10:D29),2)</f>
        <v/>
      </c>
      <c r="O29" s="46">
        <f>B29-B28</f>
        <v/>
      </c>
    </row>
    <row r="30" ht="15" customHeight="1" s="25">
      <c r="A30" s="27" t="n">
        <v>21</v>
      </c>
      <c r="B30" s="37">
        <f>EOMONTH($E$5,21)</f>
        <v/>
      </c>
      <c r="C30" s="38">
        <f>IF(21=$B$5,I29+F30,$E$4)</f>
        <v/>
      </c>
      <c r="D30" s="39">
        <f>ROUND(C30*$E$3/100,2)</f>
        <v/>
      </c>
      <c r="E30" s="40">
        <f>C30+D30</f>
        <v/>
      </c>
      <c r="F30" s="41">
        <f>ROUND(I29*$B$4/100*O30/365,2)</f>
        <v/>
      </c>
      <c r="G30" s="42">
        <f>IF(21=1,F30,G29+F30)</f>
        <v/>
      </c>
      <c r="H30" s="43">
        <f>C30-F30</f>
        <v/>
      </c>
      <c r="I30" s="38">
        <f>I29-H30</f>
        <v/>
      </c>
      <c r="J30" s="44">
        <f>ROUND($B$3/$H$3,2)</f>
        <v/>
      </c>
      <c r="K30" s="44">
        <f>K29-J30</f>
        <v/>
      </c>
      <c r="L30" s="45">
        <f>$H$4-G30</f>
        <v/>
      </c>
      <c r="M30" s="45">
        <f>ROUND($H$5-SUM($D$10:D30),2)</f>
        <v/>
      </c>
      <c r="O30" s="46">
        <f>B30-B29</f>
        <v/>
      </c>
    </row>
    <row r="31" ht="15" customHeight="1" s="25">
      <c r="A31" s="27" t="n">
        <v>22</v>
      </c>
      <c r="B31" s="37">
        <f>EOMONTH($E$5,22)</f>
        <v/>
      </c>
      <c r="C31" s="38">
        <f>IF(22=$B$5,I30+F31,$E$4)</f>
        <v/>
      </c>
      <c r="D31" s="39">
        <f>ROUND(C31*$E$3/100,2)</f>
        <v/>
      </c>
      <c r="E31" s="40">
        <f>C31+D31</f>
        <v/>
      </c>
      <c r="F31" s="41">
        <f>ROUND(I30*$B$4/100*O31/365,2)</f>
        <v/>
      </c>
      <c r="G31" s="42">
        <f>IF(22=1,F31,G30+F31)</f>
        <v/>
      </c>
      <c r="H31" s="43">
        <f>C31-F31</f>
        <v/>
      </c>
      <c r="I31" s="38">
        <f>I30-H31</f>
        <v/>
      </c>
      <c r="J31" s="44">
        <f>ROUND($B$3/$H$3,2)</f>
        <v/>
      </c>
      <c r="K31" s="44">
        <f>K30-J31</f>
        <v/>
      </c>
      <c r="L31" s="45">
        <f>$H$4-G31</f>
        <v/>
      </c>
      <c r="M31" s="45">
        <f>ROUND($H$5-SUM($D$10:D31),2)</f>
        <v/>
      </c>
      <c r="O31" s="46">
        <f>B31-B30</f>
        <v/>
      </c>
    </row>
    <row r="32" ht="15" customHeight="1" s="25">
      <c r="A32" s="27" t="n">
        <v>23</v>
      </c>
      <c r="B32" s="37">
        <f>EOMONTH($E$5,23)</f>
        <v/>
      </c>
      <c r="C32" s="38">
        <f>IF(23=$B$5,I31+F32,$E$4)</f>
        <v/>
      </c>
      <c r="D32" s="39">
        <f>ROUND(C32*$E$3/100,2)</f>
        <v/>
      </c>
      <c r="E32" s="40">
        <f>C32+D32</f>
        <v/>
      </c>
      <c r="F32" s="41">
        <f>ROUND(I31*$B$4/100*O32/365,2)</f>
        <v/>
      </c>
      <c r="G32" s="42">
        <f>IF(23=1,F32,G31+F32)</f>
        <v/>
      </c>
      <c r="H32" s="43">
        <f>C32-F32</f>
        <v/>
      </c>
      <c r="I32" s="38">
        <f>I31-H32</f>
        <v/>
      </c>
      <c r="J32" s="44">
        <f>ROUND($B$3/$H$3,2)</f>
        <v/>
      </c>
      <c r="K32" s="44">
        <f>K31-J32</f>
        <v/>
      </c>
      <c r="L32" s="45">
        <f>$H$4-G32</f>
        <v/>
      </c>
      <c r="M32" s="45">
        <f>ROUND($H$5-SUM($D$10:D32),2)</f>
        <v/>
      </c>
      <c r="O32" s="46">
        <f>B32-B31</f>
        <v/>
      </c>
    </row>
    <row r="33" ht="15" customHeight="1" s="25">
      <c r="A33" s="27" t="n">
        <v>24</v>
      </c>
      <c r="B33" s="37">
        <f>EOMONTH($E$5,24)</f>
        <v/>
      </c>
      <c r="C33" s="38">
        <f>IF(24=$B$5,I32+F33,$E$4)</f>
        <v/>
      </c>
      <c r="D33" s="39">
        <f>ROUND(C33*$E$3/100,2)</f>
        <v/>
      </c>
      <c r="E33" s="40">
        <f>C33+D33</f>
        <v/>
      </c>
      <c r="F33" s="41">
        <f>ROUND(I32*$B$4/100*O33/365,2)</f>
        <v/>
      </c>
      <c r="G33" s="42">
        <f>IF(24=1,F33,G32+F33)</f>
        <v/>
      </c>
      <c r="H33" s="43">
        <f>C33-F33</f>
        <v/>
      </c>
      <c r="I33" s="38">
        <f>I32-H33</f>
        <v/>
      </c>
      <c r="J33" s="44">
        <f>ROUND($B$3/$H$3,2)</f>
        <v/>
      </c>
      <c r="K33" s="44">
        <f>K32-J33</f>
        <v/>
      </c>
      <c r="L33" s="45">
        <f>$H$4-G33</f>
        <v/>
      </c>
      <c r="M33" s="45">
        <f>ROUND($H$5-SUM($D$10:D33),2)</f>
        <v/>
      </c>
      <c r="O33" s="46">
        <f>B33-B32</f>
        <v/>
      </c>
    </row>
    <row r="34" ht="15" customHeight="1" s="25">
      <c r="A34" s="27" t="n">
        <v>25</v>
      </c>
      <c r="B34" s="37">
        <f>EOMONTH($E$5,25)</f>
        <v/>
      </c>
      <c r="C34" s="38">
        <f>IF(25=$B$5,I33+F34,$E$4)</f>
        <v/>
      </c>
      <c r="D34" s="39">
        <f>ROUND(C34*$E$3/100,2)</f>
        <v/>
      </c>
      <c r="E34" s="40">
        <f>C34+D34</f>
        <v/>
      </c>
      <c r="F34" s="41">
        <f>ROUND(I33*$B$4/100*O34/365,2)</f>
        <v/>
      </c>
      <c r="G34" s="42">
        <f>IF(25=1,F34,G33+F34)</f>
        <v/>
      </c>
      <c r="H34" s="43">
        <f>C34-F34</f>
        <v/>
      </c>
      <c r="I34" s="38">
        <f>I33-H34</f>
        <v/>
      </c>
      <c r="J34" s="44">
        <f>ROUND($B$3/$H$3,2)</f>
        <v/>
      </c>
      <c r="K34" s="44">
        <f>K33-J34</f>
        <v/>
      </c>
      <c r="L34" s="45">
        <f>$H$4-G34</f>
        <v/>
      </c>
      <c r="M34" s="45">
        <f>ROUND($H$5-SUM($D$10:D34),2)</f>
        <v/>
      </c>
      <c r="O34" s="46">
        <f>B34-B33</f>
        <v/>
      </c>
    </row>
    <row r="35" ht="15" customHeight="1" s="25">
      <c r="A35" s="27" t="n">
        <v>26</v>
      </c>
      <c r="B35" s="37">
        <f>EOMONTH($E$5,26)</f>
        <v/>
      </c>
      <c r="C35" s="38">
        <f>IF(26=$B$5,I34+F35,$E$4)</f>
        <v/>
      </c>
      <c r="D35" s="39">
        <f>ROUND(C35*$E$3/100,2)</f>
        <v/>
      </c>
      <c r="E35" s="40">
        <f>C35+D35</f>
        <v/>
      </c>
      <c r="F35" s="41">
        <f>ROUND(I34*$B$4/100*O35/365,2)</f>
        <v/>
      </c>
      <c r="G35" s="42">
        <f>IF(26=1,F35,G34+F35)</f>
        <v/>
      </c>
      <c r="H35" s="43">
        <f>C35-F35</f>
        <v/>
      </c>
      <c r="I35" s="38">
        <f>I34-H35</f>
        <v/>
      </c>
      <c r="J35" s="44">
        <f>ROUND($B$3/$H$3,2)</f>
        <v/>
      </c>
      <c r="K35" s="44">
        <f>K34-J35</f>
        <v/>
      </c>
      <c r="L35" s="45">
        <f>$H$4-G35</f>
        <v/>
      </c>
      <c r="M35" s="45">
        <f>ROUND($H$5-SUM($D$10:D35),2)</f>
        <v/>
      </c>
      <c r="O35" s="46">
        <f>B35-B34</f>
        <v/>
      </c>
    </row>
    <row r="36" ht="15" customHeight="1" s="25">
      <c r="A36" s="27" t="n">
        <v>27</v>
      </c>
      <c r="B36" s="37">
        <f>EOMONTH($E$5,27)</f>
        <v/>
      </c>
      <c r="C36" s="38">
        <f>IF(27=$B$5,I35+F36,$E$4)</f>
        <v/>
      </c>
      <c r="D36" s="39">
        <f>ROUND(C36*$E$3/100,2)</f>
        <v/>
      </c>
      <c r="E36" s="40">
        <f>C36+D36</f>
        <v/>
      </c>
      <c r="F36" s="41">
        <f>ROUND(I35*$B$4/100*O36/365,2)</f>
        <v/>
      </c>
      <c r="G36" s="42">
        <f>IF(27=1,F36,G35+F36)</f>
        <v/>
      </c>
      <c r="H36" s="43">
        <f>C36-F36</f>
        <v/>
      </c>
      <c r="I36" s="38">
        <f>I35-H36</f>
        <v/>
      </c>
      <c r="J36" s="44">
        <f>ROUND($B$3/$H$3,2)</f>
        <v/>
      </c>
      <c r="K36" s="44">
        <f>K35-J36</f>
        <v/>
      </c>
      <c r="L36" s="45">
        <f>$H$4-G36</f>
        <v/>
      </c>
      <c r="M36" s="45">
        <f>ROUND($H$5-SUM($D$10:D36),2)</f>
        <v/>
      </c>
      <c r="O36" s="46">
        <f>B36-B35</f>
        <v/>
      </c>
    </row>
    <row r="37" ht="15" customHeight="1" s="25">
      <c r="A37" s="27" t="n">
        <v>28</v>
      </c>
      <c r="B37" s="37">
        <f>EOMONTH($E$5,28)</f>
        <v/>
      </c>
      <c r="C37" s="38">
        <f>IF(28=$B$5,I36+F37,$E$4)</f>
        <v/>
      </c>
      <c r="D37" s="39">
        <f>ROUND(C37*$E$3/100,2)</f>
        <v/>
      </c>
      <c r="E37" s="40">
        <f>C37+D37</f>
        <v/>
      </c>
      <c r="F37" s="41">
        <f>ROUND(I36*$B$4/100*O37/365,2)</f>
        <v/>
      </c>
      <c r="G37" s="42">
        <f>IF(28=1,F37,G36+F37)</f>
        <v/>
      </c>
      <c r="H37" s="43">
        <f>C37-F37</f>
        <v/>
      </c>
      <c r="I37" s="38">
        <f>I36-H37</f>
        <v/>
      </c>
      <c r="J37" s="44">
        <f>ROUND($B$3/$H$3,2)</f>
        <v/>
      </c>
      <c r="K37" s="44">
        <f>K36-J37</f>
        <v/>
      </c>
      <c r="L37" s="45">
        <f>$H$4-G37</f>
        <v/>
      </c>
      <c r="M37" s="45">
        <f>ROUND($H$5-SUM($D$10:D37),2)</f>
        <v/>
      </c>
      <c r="O37" s="46">
        <f>B37-B36</f>
        <v/>
      </c>
    </row>
    <row r="38" ht="15" customHeight="1" s="25">
      <c r="A38" s="27" t="n">
        <v>29</v>
      </c>
      <c r="B38" s="37">
        <f>EOMONTH($E$5,29)</f>
        <v/>
      </c>
      <c r="C38" s="38">
        <f>IF(29=$B$5,I37+F38,$E$4)</f>
        <v/>
      </c>
      <c r="D38" s="39">
        <f>ROUND(C38*$E$3/100,2)</f>
        <v/>
      </c>
      <c r="E38" s="40">
        <f>C38+D38</f>
        <v/>
      </c>
      <c r="F38" s="41">
        <f>ROUND(I37*$B$4/100*O38/365,2)</f>
        <v/>
      </c>
      <c r="G38" s="42">
        <f>IF(29=1,F38,G37+F38)</f>
        <v/>
      </c>
      <c r="H38" s="43">
        <f>C38-F38</f>
        <v/>
      </c>
      <c r="I38" s="38">
        <f>I37-H38</f>
        <v/>
      </c>
      <c r="J38" s="44">
        <f>ROUND($B$3/$H$3,2)</f>
        <v/>
      </c>
      <c r="K38" s="44">
        <f>K37-J38</f>
        <v/>
      </c>
      <c r="L38" s="45">
        <f>$H$4-G38</f>
        <v/>
      </c>
      <c r="M38" s="45">
        <f>ROUND($H$5-SUM($D$10:D38),2)</f>
        <v/>
      </c>
      <c r="O38" s="46">
        <f>B38-B37</f>
        <v/>
      </c>
    </row>
    <row r="39" ht="15" customHeight="1" s="25">
      <c r="A39" s="27" t="n">
        <v>30</v>
      </c>
      <c r="B39" s="37">
        <f>EOMONTH($E$5,30)</f>
        <v/>
      </c>
      <c r="C39" s="38">
        <f>IF(30=$B$5,I38+F39,$E$4)</f>
        <v/>
      </c>
      <c r="D39" s="39">
        <f>ROUND(C39*$E$3/100,2)</f>
        <v/>
      </c>
      <c r="E39" s="40">
        <f>C39+D39</f>
        <v/>
      </c>
      <c r="F39" s="41">
        <f>ROUND(I38*$B$4/100*O39/365,2)</f>
        <v/>
      </c>
      <c r="G39" s="42">
        <f>IF(30=1,F39,G38+F39)</f>
        <v/>
      </c>
      <c r="H39" s="43">
        <f>C39-F39</f>
        <v/>
      </c>
      <c r="I39" s="38">
        <f>I38-H39</f>
        <v/>
      </c>
      <c r="J39" s="44">
        <f>ROUND($B$3/$H$3,2)</f>
        <v/>
      </c>
      <c r="K39" s="44">
        <f>K38-J39</f>
        <v/>
      </c>
      <c r="L39" s="45">
        <f>$H$4-G39</f>
        <v/>
      </c>
      <c r="M39" s="45">
        <f>ROUND($H$5-SUM($D$10:D39),2)</f>
        <v/>
      </c>
      <c r="O39" s="46">
        <f>B39-B38</f>
        <v/>
      </c>
    </row>
    <row r="40" ht="15" customHeight="1" s="25">
      <c r="A40" s="27" t="n">
        <v>31</v>
      </c>
      <c r="B40" s="37">
        <f>EOMONTH($E$5,31)</f>
        <v/>
      </c>
      <c r="C40" s="38">
        <f>IF(31=$B$5,I39+F40,$E$4)</f>
        <v/>
      </c>
      <c r="D40" s="39">
        <f>ROUND(C40*$E$3/100,2)</f>
        <v/>
      </c>
      <c r="E40" s="40">
        <f>C40+D40</f>
        <v/>
      </c>
      <c r="F40" s="41">
        <f>ROUND(I39*$B$4/100*O40/365,2)</f>
        <v/>
      </c>
      <c r="G40" s="42">
        <f>IF(31=1,F40,G39+F40)</f>
        <v/>
      </c>
      <c r="H40" s="43">
        <f>C40-F40</f>
        <v/>
      </c>
      <c r="I40" s="38">
        <f>I39-H40</f>
        <v/>
      </c>
      <c r="J40" s="44">
        <f>ROUND($B$3/$H$3,2)</f>
        <v/>
      </c>
      <c r="K40" s="44">
        <f>K39-J40</f>
        <v/>
      </c>
      <c r="L40" s="45">
        <f>$H$4-G40</f>
        <v/>
      </c>
      <c r="M40" s="45">
        <f>ROUND($H$5-SUM($D$10:D40),2)</f>
        <v/>
      </c>
      <c r="O40" s="46">
        <f>B40-B39</f>
        <v/>
      </c>
    </row>
    <row r="41" ht="15" customHeight="1" s="25">
      <c r="A41" s="27" t="n">
        <v>32</v>
      </c>
      <c r="B41" s="37">
        <f>EOMONTH($E$5,32)</f>
        <v/>
      </c>
      <c r="C41" s="38">
        <f>IF(32=$B$5,I40+F41,$E$4)</f>
        <v/>
      </c>
      <c r="D41" s="39">
        <f>ROUND(C41*$E$3/100,2)</f>
        <v/>
      </c>
      <c r="E41" s="40">
        <f>C41+D41</f>
        <v/>
      </c>
      <c r="F41" s="41">
        <f>ROUND(I40*$B$4/100*O41/365,2)</f>
        <v/>
      </c>
      <c r="G41" s="42">
        <f>IF(32=1,F41,G40+F41)</f>
        <v/>
      </c>
      <c r="H41" s="43">
        <f>C41-F41</f>
        <v/>
      </c>
      <c r="I41" s="38">
        <f>I40-H41</f>
        <v/>
      </c>
      <c r="J41" s="44">
        <f>ROUND($B$3/$H$3,2)</f>
        <v/>
      </c>
      <c r="K41" s="44">
        <f>K40-J41</f>
        <v/>
      </c>
      <c r="L41" s="45">
        <f>$H$4-G41</f>
        <v/>
      </c>
      <c r="M41" s="45">
        <f>ROUND($H$5-SUM($D$10:D41),2)</f>
        <v/>
      </c>
      <c r="O41" s="46">
        <f>B41-B40</f>
        <v/>
      </c>
    </row>
    <row r="42" ht="15" customHeight="1" s="25">
      <c r="A42" s="27" t="n">
        <v>33</v>
      </c>
      <c r="B42" s="37">
        <f>EOMONTH($E$5,33)</f>
        <v/>
      </c>
      <c r="C42" s="38">
        <f>IF(33=$B$5,I41+F42,$E$4)</f>
        <v/>
      </c>
      <c r="D42" s="39">
        <f>ROUND(C42*$E$3/100,2)</f>
        <v/>
      </c>
      <c r="E42" s="40">
        <f>C42+D42</f>
        <v/>
      </c>
      <c r="F42" s="41">
        <f>ROUND(I41*$B$4/100*O42/365,2)</f>
        <v/>
      </c>
      <c r="G42" s="42">
        <f>IF(33=1,F42,G41+F42)</f>
        <v/>
      </c>
      <c r="H42" s="43">
        <f>C42-F42</f>
        <v/>
      </c>
      <c r="I42" s="38">
        <f>I41-H42</f>
        <v/>
      </c>
      <c r="J42" s="44">
        <f>ROUND($B$3/$H$3,2)</f>
        <v/>
      </c>
      <c r="K42" s="44">
        <f>K41-J42</f>
        <v/>
      </c>
      <c r="L42" s="45">
        <f>$H$4-G42</f>
        <v/>
      </c>
      <c r="M42" s="45">
        <f>ROUND($H$5-SUM($D$10:D42),2)</f>
        <v/>
      </c>
      <c r="O42" s="46">
        <f>B42-B41</f>
        <v/>
      </c>
    </row>
    <row r="43" ht="15" customHeight="1" s="25">
      <c r="A43" s="27" t="n">
        <v>34</v>
      </c>
      <c r="B43" s="37">
        <f>EOMONTH($E$5,34)</f>
        <v/>
      </c>
      <c r="C43" s="38">
        <f>IF(34=$B$5,I42+F43,$E$4)</f>
        <v/>
      </c>
      <c r="D43" s="39">
        <f>ROUND(C43*$E$3/100,2)</f>
        <v/>
      </c>
      <c r="E43" s="40">
        <f>C43+D43</f>
        <v/>
      </c>
      <c r="F43" s="41">
        <f>ROUND(I42*$B$4/100*O43/365,2)</f>
        <v/>
      </c>
      <c r="G43" s="42">
        <f>IF(34=1,F43,G42+F43)</f>
        <v/>
      </c>
      <c r="H43" s="43">
        <f>C43-F43</f>
        <v/>
      </c>
      <c r="I43" s="38">
        <f>I42-H43</f>
        <v/>
      </c>
      <c r="J43" s="44">
        <f>ROUND($B$3/$H$3,2)</f>
        <v/>
      </c>
      <c r="K43" s="44">
        <f>K42-J43</f>
        <v/>
      </c>
      <c r="L43" s="45">
        <f>$H$4-G43</f>
        <v/>
      </c>
      <c r="M43" s="45">
        <f>ROUND($H$5-SUM($D$10:D43),2)</f>
        <v/>
      </c>
      <c r="O43" s="46">
        <f>B43-B42</f>
        <v/>
      </c>
    </row>
    <row r="44" ht="15" customHeight="1" s="25">
      <c r="A44" s="27" t="n">
        <v>35</v>
      </c>
      <c r="B44" s="37">
        <f>EOMONTH($E$5,35)</f>
        <v/>
      </c>
      <c r="C44" s="38">
        <f>IF(35=$B$5,I43+F44,$E$4)</f>
        <v/>
      </c>
      <c r="D44" s="39">
        <f>ROUND(C44*$E$3/100,2)</f>
        <v/>
      </c>
      <c r="E44" s="40">
        <f>C44+D44</f>
        <v/>
      </c>
      <c r="F44" s="41">
        <f>ROUND(I43*$B$4/100*O44/365,2)</f>
        <v/>
      </c>
      <c r="G44" s="42">
        <f>IF(35=1,F44,G43+F44)</f>
        <v/>
      </c>
      <c r="H44" s="43">
        <f>C44-F44</f>
        <v/>
      </c>
      <c r="I44" s="38">
        <f>I43-H44</f>
        <v/>
      </c>
      <c r="J44" s="44">
        <f>ROUND($B$3/$H$3,2)</f>
        <v/>
      </c>
      <c r="K44" s="44">
        <f>K43-J44</f>
        <v/>
      </c>
      <c r="L44" s="45">
        <f>$H$4-G44</f>
        <v/>
      </c>
      <c r="M44" s="45">
        <f>ROUND($H$5-SUM($D$10:D44),2)</f>
        <v/>
      </c>
      <c r="O44" s="46">
        <f>B44-B43</f>
        <v/>
      </c>
    </row>
    <row r="45" ht="15" customHeight="1" s="25">
      <c r="A45" s="27" t="n">
        <v>36</v>
      </c>
      <c r="B45" s="37">
        <f>EOMONTH($E$5,36)</f>
        <v/>
      </c>
      <c r="C45" s="38">
        <f>IF(36=$B$5,I44+F45,$E$4)</f>
        <v/>
      </c>
      <c r="D45" s="39">
        <f>ROUND(C45*$E$3/100,2)</f>
        <v/>
      </c>
      <c r="E45" s="40">
        <f>C45+D45</f>
        <v/>
      </c>
      <c r="F45" s="41">
        <f>ROUND(I44*$B$4/100*O45/365,2)</f>
        <v/>
      </c>
      <c r="G45" s="42">
        <f>IF(36=1,F45,G44+F45)</f>
        <v/>
      </c>
      <c r="H45" s="43">
        <f>C45-F45</f>
        <v/>
      </c>
      <c r="I45" s="38">
        <f>I44-H45</f>
        <v/>
      </c>
      <c r="J45" s="44">
        <f>ROUND($B$3/$H$3,2)</f>
        <v/>
      </c>
      <c r="K45" s="44">
        <f>K44-J45</f>
        <v/>
      </c>
      <c r="L45" s="45">
        <f>$H$4-G45</f>
        <v/>
      </c>
      <c r="M45" s="45">
        <f>ROUND($H$5-SUM($D$10:D45),2)</f>
        <v/>
      </c>
      <c r="O45" s="46">
        <f>B45-B44</f>
        <v/>
      </c>
    </row>
    <row r="46" ht="15" customHeight="1" s="25">
      <c r="A46" s="27" t="n">
        <v>37</v>
      </c>
      <c r="B46" s="37">
        <f>EOMONTH($E$5,37)</f>
        <v/>
      </c>
      <c r="C46" s="38">
        <f>IF(37=$B$5,I45+F46,$E$4)</f>
        <v/>
      </c>
      <c r="D46" s="39">
        <f>ROUND(C46*$E$3/100,2)</f>
        <v/>
      </c>
      <c r="E46" s="40">
        <f>C46+D46</f>
        <v/>
      </c>
      <c r="F46" s="41">
        <f>ROUND(I45*$B$4/100*O46/365,2)</f>
        <v/>
      </c>
      <c r="G46" s="42">
        <f>IF(37=1,F46,G45+F46)</f>
        <v/>
      </c>
      <c r="H46" s="43">
        <f>C46-F46</f>
        <v/>
      </c>
      <c r="I46" s="38">
        <f>I45-H46</f>
        <v/>
      </c>
      <c r="J46" s="44">
        <f>ROUND($B$3/$H$3,2)</f>
        <v/>
      </c>
      <c r="K46" s="44">
        <f>K45-J46</f>
        <v/>
      </c>
      <c r="L46" s="45">
        <f>$H$4-G46</f>
        <v/>
      </c>
      <c r="M46" s="45">
        <f>ROUND($H$5-SUM($D$10:D46),2)</f>
        <v/>
      </c>
      <c r="O46" s="46">
        <f>B46-B45</f>
        <v/>
      </c>
    </row>
    <row r="47" ht="15" customHeight="1" s="25">
      <c r="A47" s="27" t="n">
        <v>38</v>
      </c>
      <c r="B47" s="37">
        <f>EOMONTH($E$5,38)</f>
        <v/>
      </c>
      <c r="C47" s="38">
        <f>IF(38=$B$5,I46+F47,$E$4)</f>
        <v/>
      </c>
      <c r="D47" s="39">
        <f>ROUND(C47*$E$3/100,2)</f>
        <v/>
      </c>
      <c r="E47" s="40">
        <f>C47+D47</f>
        <v/>
      </c>
      <c r="F47" s="41">
        <f>ROUND(I46*$B$4/100*O47/365,2)</f>
        <v/>
      </c>
      <c r="G47" s="42">
        <f>IF(38=1,F47,G46+F47)</f>
        <v/>
      </c>
      <c r="H47" s="43">
        <f>C47-F47</f>
        <v/>
      </c>
      <c r="I47" s="38">
        <f>I46-H47</f>
        <v/>
      </c>
      <c r="J47" s="44">
        <f>ROUND($B$3/$H$3,2)</f>
        <v/>
      </c>
      <c r="K47" s="44">
        <f>K46-J47</f>
        <v/>
      </c>
      <c r="L47" s="45">
        <f>$H$4-G47</f>
        <v/>
      </c>
      <c r="M47" s="45">
        <f>ROUND($H$5-SUM($D$10:D47),2)</f>
        <v/>
      </c>
      <c r="O47" s="46">
        <f>B47-B46</f>
        <v/>
      </c>
    </row>
    <row r="48" ht="15" customHeight="1" s="25">
      <c r="A48" s="27" t="n">
        <v>39</v>
      </c>
      <c r="B48" s="37">
        <f>EOMONTH($E$5,39)</f>
        <v/>
      </c>
      <c r="C48" s="38">
        <f>IF(39=$B$5,I47+F48,$E$4)</f>
        <v/>
      </c>
      <c r="D48" s="39">
        <f>ROUND(C48*$E$3/100,2)</f>
        <v/>
      </c>
      <c r="E48" s="40">
        <f>C48+D48</f>
        <v/>
      </c>
      <c r="F48" s="41">
        <f>ROUND(I47*$B$4/100*O48/365,2)</f>
        <v/>
      </c>
      <c r="G48" s="42">
        <f>IF(39=1,F48,G47+F48)</f>
        <v/>
      </c>
      <c r="H48" s="43">
        <f>C48-F48</f>
        <v/>
      </c>
      <c r="I48" s="38">
        <f>I47-H48</f>
        <v/>
      </c>
      <c r="J48" s="44">
        <f>ROUND($B$3/$H$3,2)</f>
        <v/>
      </c>
      <c r="K48" s="44">
        <f>K47-J48</f>
        <v/>
      </c>
      <c r="L48" s="45">
        <f>$H$4-G48</f>
        <v/>
      </c>
      <c r="M48" s="45">
        <f>ROUND($H$5-SUM($D$10:D48),2)</f>
        <v/>
      </c>
      <c r="O48" s="46">
        <f>B48-B47</f>
        <v/>
      </c>
    </row>
    <row r="49" ht="15" customHeight="1" s="25">
      <c r="A49" s="27" t="n">
        <v>40</v>
      </c>
      <c r="B49" s="37">
        <f>EOMONTH($E$5,40)</f>
        <v/>
      </c>
      <c r="C49" s="38">
        <f>IF(40=$B$5,I48+F49,$E$4)</f>
        <v/>
      </c>
      <c r="D49" s="39">
        <f>ROUND(C49*$E$3/100,2)</f>
        <v/>
      </c>
      <c r="E49" s="40">
        <f>C49+D49</f>
        <v/>
      </c>
      <c r="F49" s="41">
        <f>ROUND(I48*$B$4/100*O49/365,2)</f>
        <v/>
      </c>
      <c r="G49" s="42">
        <f>IF(40=1,F49,G48+F49)</f>
        <v/>
      </c>
      <c r="H49" s="43">
        <f>C49-F49</f>
        <v/>
      </c>
      <c r="I49" s="38">
        <f>I48-H49</f>
        <v/>
      </c>
      <c r="J49" s="44">
        <f>ROUND($B$3/$H$3,2)</f>
        <v/>
      </c>
      <c r="K49" s="44">
        <f>K48-J49</f>
        <v/>
      </c>
      <c r="L49" s="45">
        <f>$H$4-G49</f>
        <v/>
      </c>
      <c r="M49" s="45">
        <f>ROUND($H$5-SUM($D$10:D49),2)</f>
        <v/>
      </c>
      <c r="O49" s="46">
        <f>B49-B48</f>
        <v/>
      </c>
    </row>
    <row r="50" ht="15" customHeight="1" s="25">
      <c r="A50" s="27" t="n">
        <v>41</v>
      </c>
      <c r="B50" s="37">
        <f>EOMONTH($E$5,41)</f>
        <v/>
      </c>
      <c r="C50" s="38">
        <f>IF(41=$B$5,I49+F50,$E$4)</f>
        <v/>
      </c>
      <c r="D50" s="39">
        <f>ROUND(C50*$E$3/100,2)</f>
        <v/>
      </c>
      <c r="E50" s="40">
        <f>C50+D50</f>
        <v/>
      </c>
      <c r="F50" s="41">
        <f>ROUND(I49*$B$4/100*O50/365,2)</f>
        <v/>
      </c>
      <c r="G50" s="42">
        <f>IF(41=1,F50,G49+F50)</f>
        <v/>
      </c>
      <c r="H50" s="43">
        <f>C50-F50</f>
        <v/>
      </c>
      <c r="I50" s="38">
        <f>I49-H50</f>
        <v/>
      </c>
      <c r="J50" s="44">
        <f>ROUND($B$3/$H$3,2)</f>
        <v/>
      </c>
      <c r="K50" s="44">
        <f>K49-J50</f>
        <v/>
      </c>
      <c r="L50" s="45">
        <f>$H$4-G50</f>
        <v/>
      </c>
      <c r="M50" s="45">
        <f>ROUND($H$5-SUM($D$10:D50),2)</f>
        <v/>
      </c>
      <c r="O50" s="46">
        <f>B50-B49</f>
        <v/>
      </c>
    </row>
    <row r="51" ht="15" customHeight="1" s="25">
      <c r="A51" s="27" t="n">
        <v>42</v>
      </c>
      <c r="B51" s="37">
        <f>EOMONTH($E$5,42)</f>
        <v/>
      </c>
      <c r="C51" s="38">
        <f>IF(42=$B$5,I50+F51,$E$4)</f>
        <v/>
      </c>
      <c r="D51" s="39">
        <f>ROUND(C51*$E$3/100,2)</f>
        <v/>
      </c>
      <c r="E51" s="40">
        <f>C51+D51</f>
        <v/>
      </c>
      <c r="F51" s="41">
        <f>ROUND(I50*$B$4/100*O51/365,2)</f>
        <v/>
      </c>
      <c r="G51" s="42">
        <f>IF(42=1,F51,G50+F51)</f>
        <v/>
      </c>
      <c r="H51" s="43">
        <f>C51-F51</f>
        <v/>
      </c>
      <c r="I51" s="38">
        <f>I50-H51</f>
        <v/>
      </c>
      <c r="J51" s="44">
        <f>ROUND($B$3/$H$3,2)</f>
        <v/>
      </c>
      <c r="K51" s="44">
        <f>K50-J51</f>
        <v/>
      </c>
      <c r="L51" s="45">
        <f>$H$4-G51</f>
        <v/>
      </c>
      <c r="M51" s="45">
        <f>ROUND($H$5-SUM($D$10:D51),2)</f>
        <v/>
      </c>
      <c r="O51" s="46">
        <f>B51-B50</f>
        <v/>
      </c>
    </row>
    <row r="52" ht="15" customHeight="1" s="25">
      <c r="A52" s="27" t="n">
        <v>43</v>
      </c>
      <c r="B52" s="37">
        <f>EOMONTH($E$5,43)</f>
        <v/>
      </c>
      <c r="C52" s="38">
        <f>IF(43=$B$5,I51+F52,$E$4)</f>
        <v/>
      </c>
      <c r="D52" s="39">
        <f>ROUND(C52*$E$3/100,2)</f>
        <v/>
      </c>
      <c r="E52" s="40">
        <f>C52+D52</f>
        <v/>
      </c>
      <c r="F52" s="41">
        <f>ROUND(I51*$B$4/100*O52/365,2)</f>
        <v/>
      </c>
      <c r="G52" s="42">
        <f>IF(43=1,F52,G51+F52)</f>
        <v/>
      </c>
      <c r="H52" s="43">
        <f>C52-F52</f>
        <v/>
      </c>
      <c r="I52" s="38">
        <f>I51-H52</f>
        <v/>
      </c>
      <c r="J52" s="44">
        <f>ROUND($B$3/$H$3,2)</f>
        <v/>
      </c>
      <c r="K52" s="44">
        <f>K51-J52</f>
        <v/>
      </c>
      <c r="L52" s="45">
        <f>$H$4-G52</f>
        <v/>
      </c>
      <c r="M52" s="45">
        <f>ROUND($H$5-SUM($D$10:D52),2)</f>
        <v/>
      </c>
      <c r="O52" s="46">
        <f>B52-B51</f>
        <v/>
      </c>
    </row>
    <row r="53" ht="15" customHeight="1" s="25">
      <c r="A53" s="27" t="n">
        <v>44</v>
      </c>
      <c r="B53" s="37">
        <f>EOMONTH($E$5,44)</f>
        <v/>
      </c>
      <c r="C53" s="38">
        <f>IF(44=$B$5,I52+F53,$E$4)</f>
        <v/>
      </c>
      <c r="D53" s="39">
        <f>ROUND(C53*$E$3/100,2)</f>
        <v/>
      </c>
      <c r="E53" s="40">
        <f>C53+D53</f>
        <v/>
      </c>
      <c r="F53" s="41">
        <f>ROUND(I52*$B$4/100*O53/365,2)</f>
        <v/>
      </c>
      <c r="G53" s="42">
        <f>IF(44=1,F53,G52+F53)</f>
        <v/>
      </c>
      <c r="H53" s="43">
        <f>C53-F53</f>
        <v/>
      </c>
      <c r="I53" s="38">
        <f>I52-H53</f>
        <v/>
      </c>
      <c r="J53" s="44">
        <f>ROUND($B$3/$H$3,2)</f>
        <v/>
      </c>
      <c r="K53" s="44">
        <f>K52-J53</f>
        <v/>
      </c>
      <c r="L53" s="45">
        <f>$H$4-G53</f>
        <v/>
      </c>
      <c r="M53" s="45">
        <f>ROUND($H$5-SUM($D$10:D53),2)</f>
        <v/>
      </c>
      <c r="O53" s="46">
        <f>B53-B52</f>
        <v/>
      </c>
    </row>
    <row r="54" ht="15" customHeight="1" s="25">
      <c r="A54" s="27" t="n">
        <v>45</v>
      </c>
      <c r="B54" s="37">
        <f>EOMONTH($E$5,45)</f>
        <v/>
      </c>
      <c r="C54" s="38">
        <f>IF(45=$B$5,I53+F54,$E$4)</f>
        <v/>
      </c>
      <c r="D54" s="39">
        <f>ROUND(C54*$E$3/100,2)</f>
        <v/>
      </c>
      <c r="E54" s="40">
        <f>C54+D54</f>
        <v/>
      </c>
      <c r="F54" s="41">
        <f>ROUND(I53*$B$4/100*O54/365,2)</f>
        <v/>
      </c>
      <c r="G54" s="42">
        <f>IF(45=1,F54,G53+F54)</f>
        <v/>
      </c>
      <c r="H54" s="43">
        <f>C54-F54</f>
        <v/>
      </c>
      <c r="I54" s="38">
        <f>I53-H54</f>
        <v/>
      </c>
      <c r="J54" s="44">
        <f>ROUND($B$3/$H$3,2)</f>
        <v/>
      </c>
      <c r="K54" s="44">
        <f>K53-J54</f>
        <v/>
      </c>
      <c r="L54" s="45">
        <f>$H$4-G54</f>
        <v/>
      </c>
      <c r="M54" s="45">
        <f>ROUND($H$5-SUM($D$10:D54),2)</f>
        <v/>
      </c>
      <c r="O54" s="46">
        <f>B54-B53</f>
        <v/>
      </c>
    </row>
    <row r="55" ht="15" customHeight="1" s="25">
      <c r="A55" s="27" t="n">
        <v>46</v>
      </c>
      <c r="B55" s="37">
        <f>EOMONTH($E$5,46)</f>
        <v/>
      </c>
      <c r="C55" s="38">
        <f>IF(46=$B$5,I54+F55,$E$4)</f>
        <v/>
      </c>
      <c r="D55" s="39">
        <f>ROUND(C55*$E$3/100,2)</f>
        <v/>
      </c>
      <c r="E55" s="40">
        <f>C55+D55</f>
        <v/>
      </c>
      <c r="F55" s="41">
        <f>ROUND(I54*$B$4/100*O55/365,2)</f>
        <v/>
      </c>
      <c r="G55" s="42">
        <f>IF(46=1,F55,G54+F55)</f>
        <v/>
      </c>
      <c r="H55" s="43">
        <f>C55-F55</f>
        <v/>
      </c>
      <c r="I55" s="38">
        <f>I54-H55</f>
        <v/>
      </c>
      <c r="J55" s="44">
        <f>ROUND($B$3/$H$3,2)</f>
        <v/>
      </c>
      <c r="K55" s="44">
        <f>K54-J55</f>
        <v/>
      </c>
      <c r="L55" s="45">
        <f>$H$4-G55</f>
        <v/>
      </c>
      <c r="M55" s="45">
        <f>ROUND($H$5-SUM($D$10:D55),2)</f>
        <v/>
      </c>
      <c r="O55" s="46">
        <f>B55-B54</f>
        <v/>
      </c>
    </row>
    <row r="56" ht="15" customHeight="1" s="25">
      <c r="A56" s="27" t="n">
        <v>47</v>
      </c>
      <c r="B56" s="37">
        <f>EOMONTH($E$5,47)</f>
        <v/>
      </c>
      <c r="C56" s="38">
        <f>IF(47=$B$5,I55+F56,$E$4)</f>
        <v/>
      </c>
      <c r="D56" s="39">
        <f>ROUND(C56*$E$3/100,2)</f>
        <v/>
      </c>
      <c r="E56" s="40">
        <f>C56+D56</f>
        <v/>
      </c>
      <c r="F56" s="41">
        <f>ROUND(I55*$B$4/100*O56/365,2)</f>
        <v/>
      </c>
      <c r="G56" s="42">
        <f>IF(47=1,F56,G55+F56)</f>
        <v/>
      </c>
      <c r="H56" s="43">
        <f>C56-F56</f>
        <v/>
      </c>
      <c r="I56" s="38">
        <f>I55-H56</f>
        <v/>
      </c>
      <c r="J56" s="44">
        <f>ROUND($B$3/$H$3,2)</f>
        <v/>
      </c>
      <c r="K56" s="44">
        <f>K55-J56</f>
        <v/>
      </c>
      <c r="L56" s="45">
        <f>$H$4-G56</f>
        <v/>
      </c>
      <c r="M56" s="45">
        <f>ROUND($H$5-SUM($D$10:D56),2)</f>
        <v/>
      </c>
      <c r="O56" s="46">
        <f>B56-B55</f>
        <v/>
      </c>
    </row>
    <row r="57" ht="15" customHeight="1" s="25">
      <c r="A57" s="27" t="n">
        <v>48</v>
      </c>
      <c r="B57" s="37">
        <f>EOMONTH($E$5,48)</f>
        <v/>
      </c>
      <c r="C57" s="38">
        <f>IF(48=$B$5,I56+F57,$E$4)</f>
        <v/>
      </c>
      <c r="D57" s="39">
        <f>ROUND(C57*$E$3/100,2)</f>
        <v/>
      </c>
      <c r="E57" s="40">
        <f>C57+D57</f>
        <v/>
      </c>
      <c r="F57" s="41">
        <f>ROUND(I56*$B$4/100*O57/365,2)</f>
        <v/>
      </c>
      <c r="G57" s="42">
        <f>IF(48=1,F57,G56+F57)</f>
        <v/>
      </c>
      <c r="H57" s="43">
        <f>C57-F57</f>
        <v/>
      </c>
      <c r="I57" s="38">
        <f>I56-H57</f>
        <v/>
      </c>
      <c r="J57" s="44">
        <f>ROUND($B$3/$H$3,2)</f>
        <v/>
      </c>
      <c r="K57" s="44">
        <f>K56-J57</f>
        <v/>
      </c>
      <c r="L57" s="45">
        <f>$H$4-G57</f>
        <v/>
      </c>
      <c r="M57" s="45">
        <f>ROUND($H$5-SUM($D$10:D57),2)</f>
        <v/>
      </c>
      <c r="O57" s="46">
        <f>B57-B56</f>
        <v/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2" customWidth="1" style="24" min="1" max="1"/>
    <col width="18" customWidth="1" style="24" min="3" max="3"/>
    <col width="70" customWidth="1" style="25" min="4" max="4"/>
  </cols>
  <sheetData>
    <row r="1" ht="16.15" customHeight="1" s="25">
      <c r="A1" s="26" t="inlineStr">
        <is>
          <t>HP-DEMO-001 — Maturity Profile (GL Classification / TFRS16)</t>
        </is>
      </c>
    </row>
    <row r="3" ht="15" customHeight="1" s="25">
      <c r="A3" s="47" t="inlineStr">
        <is>
          <t>GL Classification — Aging (Current vs Non-current)</t>
        </is>
      </c>
      <c r="D3" s="48" t="inlineStr">
        <is>
          <t>ที่มา / วิธีคิด (อ้างอิงแท็บ Amortization)</t>
        </is>
      </c>
    </row>
    <row r="4" ht="15" customHeight="1" s="25">
      <c r="A4" s="27" t="inlineStr">
        <is>
          <t>Current Portion (≤ 12 เดือน) = เงินต้น (AMORTISATION) งวด 1-12</t>
        </is>
      </c>
      <c r="C4" s="38">
        <f>SUM(Amortization!H10:H21)</f>
        <v/>
      </c>
      <c r="D4" s="49" t="inlineStr">
        <is>
          <t>รวม "เงินต้นตัดต่องวด" (คอลัมน์ AMORTISATION — ตัวเลขสีเขียว ในแท็บ Amortization) ของงวดที่ 1–12</t>
        </is>
      </c>
    </row>
    <row r="5" ht="15" customHeight="1" s="25">
      <c r="A5" s="27" t="inlineStr">
        <is>
          <t>Non-current (&gt; 12 เดือน) = เงินต้น งวด 13-48</t>
        </is>
      </c>
      <c r="C5" s="38">
        <f>SUM(Amortization!H22:H57)</f>
        <v/>
      </c>
      <c r="D5" s="49" t="inlineStr">
        <is>
          <t>รวม "เงินต้นตัดต่องวด" (AMORTISATION สีเขียว) ของงวดที่ 13–48  (หรือ Total ลบ Current)</t>
        </is>
      </c>
    </row>
    <row r="6" ht="15" customHeight="1" s="25">
      <c r="A6" s="33" t="inlineStr">
        <is>
          <t>Total Principal</t>
        </is>
      </c>
      <c r="C6" s="34">
        <f>Amortization!$B$3</f>
        <v/>
      </c>
      <c r="D6" s="49" t="inlineStr">
        <is>
          <t>เงินต้นตั้งต้น — ช่อง PRINCIPAL (มุมบนซ้ายแท็บ Amortization) = 1,000,000</t>
        </is>
      </c>
    </row>
    <row r="8" ht="14.15" customHeight="1" s="25">
      <c r="A8" s="47" t="inlineStr">
        <is>
          <t>ภาระผูกพันตามสัญญาเช่าในอนาคต — แยกช่วงเวลา (รวมเงินต้น + ดอกเบี้ย ยังไม่คิดลด)</t>
        </is>
      </c>
      <c r="D8" s="48" t="inlineStr">
        <is>
          <t>ที่มา / วิธีคิด</t>
        </is>
      </c>
    </row>
    <row r="9" ht="15" customHeight="1" s="25">
      <c r="A9" s="27" t="inlineStr">
        <is>
          <t>ภายใน 1 ปี = (AMORTISATION+INTEREST) งวด 1-12</t>
        </is>
      </c>
      <c r="C9" s="38">
        <f>SUMPRODUCT((Amortization!A10:A57&lt;=12)*(Amortization!H10:H57+Amortization!F10:F57))</f>
        <v/>
      </c>
      <c r="D9" s="49" t="inlineStr">
        <is>
          <t>รวม "เงินต้นตัดต่องวด (AMORTISATION สีเขียว)" + "ดอกเบี้ย (INTEREST สีส้ม)" ของงวดที่ 1–12</t>
        </is>
      </c>
    </row>
    <row r="10" ht="15" customHeight="1" s="25">
      <c r="A10" s="27" t="inlineStr">
        <is>
          <t>1 - 5 ปี = งวด 13-60</t>
        </is>
      </c>
      <c r="C10" s="38">
        <f>SUMPRODUCT((Amortization!A10:A57&gt;12)*(Amortization!A10:A57&lt;=60)*(Amortization!H10:H57+Amortization!F10:F57))</f>
        <v/>
      </c>
      <c r="D10" s="49" t="inlineStr">
        <is>
          <t>รวม AMORTISATION (สีเขียว) + INTEREST (สีส้ม) ของงวดที่ 13–48</t>
        </is>
      </c>
    </row>
    <row r="11" ht="15" customHeight="1" s="25">
      <c r="A11" s="27" t="inlineStr">
        <is>
          <t>มากกว่า 5 ปี = งวด &gt; 60</t>
        </is>
      </c>
      <c r="C11" s="38">
        <f>SUMPRODUCT((Amortization!A10:A57&gt;60)*(Amortization!H10:H57+Amortization!F10:F57))</f>
        <v/>
      </c>
      <c r="D11" s="49" t="inlineStr">
        <is>
          <t>รวม AMORTISATION + INTEREST ของงวดที่เกิน 60 เดือน — สัญญามี 48 งวด จึงไม่มี = 0</t>
        </is>
      </c>
    </row>
    <row r="12" ht="15" customHeight="1" s="25">
      <c r="A12" s="33" t="inlineStr">
        <is>
          <t>Total Future Cash Flow = เงินต้น + ดอกเบี้ยรวม</t>
        </is>
      </c>
      <c r="C12" s="34">
        <f>Amortization!$B$3+Amortization!$H$4</f>
        <v/>
      </c>
      <c r="D12" s="49" t="inlineStr">
        <is>
          <t>ช่อง PRINCIPAL (1,000,000) บวก "ดอกเบี้ยรวมทั้งสัญญา" (INTEREST สีส้มรวมทุกงวด = 105,506.84)</t>
        </is>
      </c>
    </row>
    <row r="14" ht="15" customHeight="1" s="25">
      <c r="A14" s="47" t="inlineStr">
        <is>
          <t>Lease Classification: Finance</t>
        </is>
      </c>
    </row>
  </sheetData>
  <mergeCells count="3">
    <mergeCell ref="A1:C1"/>
    <mergeCell ref="A3:C3"/>
    <mergeCell ref="A8:C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2026-09-29T09:50:17Z</dcterms:created>
  <dcterms:modified xmlns:dcterms="http://purl.org/dc/terms/" xmlns:xsi="http://www.w3.org/2001/XMLSchema-instance" xsi:type="dcterms:W3CDTF">2026-09-29T09:58:14Z</dcterms:modified>
  <cp:revision>0</cp:revision>
</cp:coreProperties>
</file>