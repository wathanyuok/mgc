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asing" sheetId="1" state="visible" r:id="rId1"/>
    <sheet xmlns:r="http://schemas.openxmlformats.org/officeDocument/2006/relationships" name="Leasing Maturity" sheetId="2" state="visible" r:id="rId2"/>
    <sheet xmlns:r="http://schemas.openxmlformats.org/officeDocument/2006/relationships" name="Lease Other" sheetId="3" state="visible" r:id="rId3"/>
    <sheet xmlns:r="http://schemas.openxmlformats.org/officeDocument/2006/relationships" name="Lease Other Maturit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C55A11"/>
      <sz val="10"/>
    </font>
    <font>
      <name val="Arial"/>
      <charset val="1"/>
      <family val="0"/>
      <color rgb="FF548235"/>
      <sz val="10"/>
    </font>
    <font>
      <name val="Arial"/>
      <charset val="1"/>
      <family val="0"/>
      <color rgb="FF2E75B6"/>
      <sz val="10"/>
    </font>
    <font>
      <name val="Arial"/>
      <charset val="1"/>
      <family val="0"/>
      <color rgb="FF999999"/>
      <sz val="8"/>
    </font>
    <font>
      <name val="Arial"/>
      <charset val="1"/>
      <family val="0"/>
      <b val="1"/>
      <sz val="11"/>
    </font>
    <font>
      <name val="Arial"/>
      <charset val="1"/>
      <family val="0"/>
      <i val="1"/>
      <color rgb="FF555555"/>
      <sz val="9"/>
    </font>
    <font>
      <name val="Arial"/>
      <b val="1"/>
      <color rgb="001F4E78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/>
    </xf>
    <xf numFmtId="3" fontId="6" fillId="2" borderId="1" applyAlignment="1" pivotButton="0" quotePrefix="0" xfId="0">
      <alignment horizontal="general" vertical="center"/>
    </xf>
    <xf numFmtId="0" fontId="6" fillId="2" borderId="1" applyAlignment="1" pivotButton="0" quotePrefix="0" xfId="0">
      <alignment horizontal="general" vertical="center"/>
    </xf>
    <xf numFmtId="2" fontId="6" fillId="2" borderId="1" applyAlignment="1" pivotButton="0" quotePrefix="0" xfId="0">
      <alignment horizontal="general" vertical="center"/>
    </xf>
    <xf numFmtId="164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4" fontId="7" fillId="3" borderId="1" applyAlignment="1" pivotButton="0" quotePrefix="0" xfId="0">
      <alignment horizontal="general" vertical="center"/>
    </xf>
    <xf numFmtId="4" fontId="6" fillId="2" borderId="1" applyAlignment="1" pivotButton="0" quotePrefix="0" xfId="0">
      <alignment horizontal="general" vertical="center"/>
    </xf>
    <xf numFmtId="0" fontId="8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center"/>
    </xf>
    <xf numFmtId="4" fontId="5" fillId="0" borderId="1" applyAlignment="1" pivotButton="0" quotePrefix="0" xfId="0">
      <alignment horizontal="general" vertical="center"/>
    </xf>
    <xf numFmtId="4" fontId="9" fillId="0" borderId="1" applyAlignment="1" pivotButton="0" quotePrefix="0" xfId="0">
      <alignment horizontal="general" vertical="center"/>
    </xf>
    <xf numFmtId="4" fontId="10" fillId="0" borderId="1" applyAlignment="1" pivotButton="0" quotePrefix="0" xfId="0">
      <alignment horizontal="general" vertical="center"/>
    </xf>
    <xf numFmtId="4" fontId="11" fillId="0" borderId="1" applyAlignment="1" pivotButton="0" quotePrefix="0" xfId="0">
      <alignment horizontal="general" vertical="center"/>
    </xf>
    <xf numFmtId="4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/>
    </xf>
    <xf numFmtId="3" fontId="6" fillId="2" borderId="1" applyAlignment="1" pivotButton="0" quotePrefix="0" xfId="0">
      <alignment horizontal="general" vertical="center"/>
    </xf>
    <xf numFmtId="0" fontId="6" fillId="2" borderId="1" applyAlignment="1" pivotButton="0" quotePrefix="0" xfId="0">
      <alignment horizontal="general" vertical="center"/>
    </xf>
    <xf numFmtId="2" fontId="6" fillId="2" borderId="1" applyAlignment="1" pivotButton="0" quotePrefix="0" xfId="0">
      <alignment horizontal="general" vertical="center"/>
    </xf>
    <xf numFmtId="164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4" fontId="7" fillId="3" borderId="1" applyAlignment="1" pivotButton="0" quotePrefix="0" xfId="0">
      <alignment horizontal="general" vertical="center"/>
    </xf>
    <xf numFmtId="4" fontId="6" fillId="2" borderId="1" applyAlignment="1" pivotButton="0" quotePrefix="0" xfId="0">
      <alignment horizontal="general" vertical="center"/>
    </xf>
    <xf numFmtId="0" fontId="8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center"/>
    </xf>
    <xf numFmtId="4" fontId="5" fillId="0" borderId="1" applyAlignment="1" pivotButton="0" quotePrefix="0" xfId="0">
      <alignment horizontal="general" vertical="center"/>
    </xf>
    <xf numFmtId="4" fontId="9" fillId="0" borderId="1" applyAlignment="1" pivotButton="0" quotePrefix="0" xfId="0">
      <alignment horizontal="general" vertical="center"/>
    </xf>
    <xf numFmtId="4" fontId="10" fillId="0" borderId="1" applyAlignment="1" pivotButton="0" quotePrefix="0" xfId="0">
      <alignment horizontal="general" vertical="center"/>
    </xf>
    <xf numFmtId="4" fontId="11" fillId="0" borderId="1" applyAlignment="1" pivotButton="0" quotePrefix="0" xfId="0">
      <alignment horizontal="general" vertical="center"/>
    </xf>
    <xf numFmtId="4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21" min="1" max="1"/>
    <col width="12" customWidth="1" style="21" min="2" max="2"/>
    <col width="13" customWidth="1" style="21" min="3" max="3"/>
    <col width="12" customWidth="1" style="21" min="4" max="4"/>
    <col width="16" customWidth="1" style="21" min="5" max="6"/>
    <col width="13" customWidth="1" style="21" min="7" max="8"/>
    <col width="5" customWidth="1" style="21" min="10" max="10"/>
  </cols>
  <sheetData>
    <row r="1" ht="15" customHeight="1" s="22">
      <c r="A1" s="23" t="inlineStr">
        <is>
          <t>LEASE-DEMO-001 — Leasing (เช่ารถระยะยาว · net/ROU)</t>
        </is>
      </c>
    </row>
    <row r="3" ht="15" customHeight="1" s="22">
      <c r="A3" s="24" t="inlineStr">
        <is>
          <t>PRINCIPAL / ROU (NPV)</t>
        </is>
      </c>
      <c r="B3" s="25" t="n">
        <v>800000</v>
      </c>
      <c r="D3" s="24" t="inlineStr">
        <is>
          <t>ROU LIFE (เดือน)</t>
        </is>
      </c>
      <c r="E3" s="26" t="n">
        <v>36</v>
      </c>
    </row>
    <row r="4" ht="15" customHeight="1" s="22">
      <c r="A4" s="24" t="inlineStr">
        <is>
          <t>RATE / YEAR (%)</t>
        </is>
      </c>
      <c r="B4" s="27" t="n">
        <v>4</v>
      </c>
      <c r="D4" s="24" t="inlineStr">
        <is>
          <t>PAYMENT START DATE</t>
        </is>
      </c>
      <c r="E4" s="28" t="n">
        <v>46295</v>
      </c>
      <c r="G4" s="29" t="inlineStr">
        <is>
          <t>INSTALLMENT = PMT (แก้เป็นค่าระบบได้)</t>
        </is>
      </c>
      <c r="H4" s="30">
        <f>ROUND(-PMT($B$4/100/12,$B$5,$B$3),2)</f>
        <v/>
      </c>
    </row>
    <row r="5" ht="15" customHeight="1" s="22">
      <c r="A5" s="24" t="inlineStr">
        <is>
          <t>TERM (MONTHS)</t>
        </is>
      </c>
      <c r="B5" s="26" t="n">
        <v>36</v>
      </c>
      <c r="D5" s="24" t="inlineStr">
        <is>
          <t>UPFRONT (จ่ายล่วงหน้าวันแรก)</t>
        </is>
      </c>
      <c r="E5" s="31" t="n">
        <v>0</v>
      </c>
      <c r="G5" s="29" t="inlineStr">
        <is>
          <t>ดอกเบี้ยรวมทั้งสัญญา</t>
        </is>
      </c>
      <c r="H5" s="30">
        <f>SUM(D10:D45)</f>
        <v/>
      </c>
    </row>
    <row r="9" ht="23.85" customHeight="1" s="22">
      <c r="A9" s="32" t="inlineStr">
        <is>
          <t>#</t>
        </is>
      </c>
      <c r="B9" s="32" t="inlineStr">
        <is>
          <t>PAYMENT DATE</t>
        </is>
      </c>
      <c r="C9" s="32" t="inlineStr">
        <is>
          <t>INSTALLMENT</t>
        </is>
      </c>
      <c r="D9" s="32" t="inlineStr">
        <is>
          <t>INTEREST</t>
        </is>
      </c>
      <c r="E9" s="32" t="inlineStr">
        <is>
          <t>PRINCIPAL (ตัดต้น)</t>
        </is>
      </c>
      <c r="F9" s="32" t="inlineStr">
        <is>
          <t>LIABILITY BALANCE</t>
        </is>
      </c>
      <c r="G9" s="32" t="inlineStr">
        <is>
          <t>DEPRECIATION</t>
        </is>
      </c>
      <c r="H9" s="32" t="inlineStr">
        <is>
          <t>ROU BALANCE</t>
        </is>
      </c>
    </row>
    <row r="10" ht="15" customHeight="1" s="22">
      <c r="A10" s="24" t="n">
        <v>1</v>
      </c>
      <c r="B10" s="33">
        <f>EOMONTH($E$5,1)</f>
        <v/>
      </c>
      <c r="C10" s="34">
        <f>IF(1=$B$5,F9+D10,$H$4)</f>
        <v/>
      </c>
      <c r="D10" s="35">
        <f>ROUND($B$3*$B$4/100*J10/365,2)</f>
        <v/>
      </c>
      <c r="E10" s="36">
        <f>C10-D10</f>
        <v/>
      </c>
      <c r="F10" s="34">
        <f>$B$3-E10</f>
        <v/>
      </c>
      <c r="G10" s="37">
        <f>ROUND(($B$3+$E$5)/$E$3,2)</f>
        <v/>
      </c>
      <c r="H10" s="37">
        <f>($B$3+$E$5)-G10</f>
        <v/>
      </c>
      <c r="I10" s="38">
        <f>B10-$E$5</f>
        <v/>
      </c>
      <c r="J10" s="38">
        <f>B10-$E$5</f>
        <v/>
      </c>
    </row>
    <row r="11" ht="15" customHeight="1" s="22">
      <c r="A11" s="24" t="n">
        <v>2</v>
      </c>
      <c r="B11" s="33">
        <f>EOMONTH($E$5,2)</f>
        <v/>
      </c>
      <c r="C11" s="34">
        <f>IF(2=$B$5,F10+D11,$H$4)</f>
        <v/>
      </c>
      <c r="D11" s="35">
        <f>ROUND(F10*$B$4/100*J11/365,2)</f>
        <v/>
      </c>
      <c r="E11" s="36">
        <f>C11-D11</f>
        <v/>
      </c>
      <c r="F11" s="34">
        <f>F10-E11</f>
        <v/>
      </c>
      <c r="G11" s="37">
        <f>ROUND(($B$3+$E$5)/$E$3,2)</f>
        <v/>
      </c>
      <c r="H11" s="37">
        <f>H10-G11</f>
        <v/>
      </c>
      <c r="I11" s="39">
        <f>B11-B10</f>
        <v/>
      </c>
      <c r="J11" s="39">
        <f>B11-B10</f>
        <v/>
      </c>
    </row>
    <row r="12" ht="15" customHeight="1" s="22">
      <c r="A12" s="24" t="n">
        <v>3</v>
      </c>
      <c r="B12" s="33">
        <f>EOMONTH($E$5,3)</f>
        <v/>
      </c>
      <c r="C12" s="34">
        <f>IF(3=$B$5,F11+D12,$H$4)</f>
        <v/>
      </c>
      <c r="D12" s="35">
        <f>ROUND(F11*$B$4/100*J12/365,2)</f>
        <v/>
      </c>
      <c r="E12" s="36">
        <f>C12-D12</f>
        <v/>
      </c>
      <c r="F12" s="34">
        <f>F11-E12</f>
        <v/>
      </c>
      <c r="G12" s="37">
        <f>ROUND(($B$3+$E$5)/$E$3,2)</f>
        <v/>
      </c>
      <c r="H12" s="37">
        <f>H11-G12</f>
        <v/>
      </c>
      <c r="I12" s="39">
        <f>B12-B11</f>
        <v/>
      </c>
      <c r="J12" s="39">
        <f>B12-B11</f>
        <v/>
      </c>
    </row>
    <row r="13" ht="15" customHeight="1" s="22">
      <c r="A13" s="24" t="n">
        <v>4</v>
      </c>
      <c r="B13" s="33">
        <f>EOMONTH($E$5,4)</f>
        <v/>
      </c>
      <c r="C13" s="34">
        <f>IF(4=$B$5,F12+D13,$H$4)</f>
        <v/>
      </c>
      <c r="D13" s="35">
        <f>ROUND(F12*$B$4/100*J13/365,2)</f>
        <v/>
      </c>
      <c r="E13" s="36">
        <f>C13-D13</f>
        <v/>
      </c>
      <c r="F13" s="34">
        <f>F12-E13</f>
        <v/>
      </c>
      <c r="G13" s="37">
        <f>ROUND(($B$3+$E$5)/$E$3,2)</f>
        <v/>
      </c>
      <c r="H13" s="37">
        <f>H12-G13</f>
        <v/>
      </c>
      <c r="I13" s="39">
        <f>B13-B12</f>
        <v/>
      </c>
      <c r="J13" s="39">
        <f>B13-B12</f>
        <v/>
      </c>
    </row>
    <row r="14" ht="15" customHeight="1" s="22">
      <c r="A14" s="24" t="n">
        <v>5</v>
      </c>
      <c r="B14" s="33">
        <f>EOMONTH($E$5,5)</f>
        <v/>
      </c>
      <c r="C14" s="34">
        <f>IF(5=$B$5,F13+D14,$H$4)</f>
        <v/>
      </c>
      <c r="D14" s="35">
        <f>ROUND(F13*$B$4/100*J14/365,2)</f>
        <v/>
      </c>
      <c r="E14" s="36">
        <f>C14-D14</f>
        <v/>
      </c>
      <c r="F14" s="34">
        <f>F13-E14</f>
        <v/>
      </c>
      <c r="G14" s="37">
        <f>ROUND(($B$3+$E$5)/$E$3,2)</f>
        <v/>
      </c>
      <c r="H14" s="37">
        <f>H13-G14</f>
        <v/>
      </c>
      <c r="I14" s="39">
        <f>B14-B13</f>
        <v/>
      </c>
      <c r="J14" s="39">
        <f>B14-B13</f>
        <v/>
      </c>
    </row>
    <row r="15" ht="15" customHeight="1" s="22">
      <c r="A15" s="24" t="n">
        <v>6</v>
      </c>
      <c r="B15" s="33">
        <f>EOMONTH($E$5,6)</f>
        <v/>
      </c>
      <c r="C15" s="34">
        <f>IF(6=$B$5,F14+D15,$H$4)</f>
        <v/>
      </c>
      <c r="D15" s="35">
        <f>ROUND(F14*$B$4/100*J15/365,2)</f>
        <v/>
      </c>
      <c r="E15" s="36">
        <f>C15-D15</f>
        <v/>
      </c>
      <c r="F15" s="34">
        <f>F14-E15</f>
        <v/>
      </c>
      <c r="G15" s="37">
        <f>ROUND(($B$3+$E$5)/$E$3,2)</f>
        <v/>
      </c>
      <c r="H15" s="37">
        <f>H14-G15</f>
        <v/>
      </c>
      <c r="I15" s="39">
        <f>B15-B14</f>
        <v/>
      </c>
      <c r="J15" s="39">
        <f>B15-B14</f>
        <v/>
      </c>
    </row>
    <row r="16" ht="15" customHeight="1" s="22">
      <c r="A16" s="24" t="n">
        <v>7</v>
      </c>
      <c r="B16" s="33">
        <f>EOMONTH($E$5,7)</f>
        <v/>
      </c>
      <c r="C16" s="34">
        <f>IF(7=$B$5,F15+D16,$H$4)</f>
        <v/>
      </c>
      <c r="D16" s="35">
        <f>ROUND(F15*$B$4/100*J16/365,2)</f>
        <v/>
      </c>
      <c r="E16" s="36">
        <f>C16-D16</f>
        <v/>
      </c>
      <c r="F16" s="34">
        <f>F15-E16</f>
        <v/>
      </c>
      <c r="G16" s="37">
        <f>ROUND(($B$3+$E$5)/$E$3,2)</f>
        <v/>
      </c>
      <c r="H16" s="37">
        <f>H15-G16</f>
        <v/>
      </c>
      <c r="I16" s="39">
        <f>B16-B15</f>
        <v/>
      </c>
      <c r="J16" s="39">
        <f>B16-B15</f>
        <v/>
      </c>
    </row>
    <row r="17" ht="15" customHeight="1" s="22">
      <c r="A17" s="24" t="n">
        <v>8</v>
      </c>
      <c r="B17" s="33">
        <f>EOMONTH($E$5,8)</f>
        <v/>
      </c>
      <c r="C17" s="34">
        <f>IF(8=$B$5,F16+D17,$H$4)</f>
        <v/>
      </c>
      <c r="D17" s="35">
        <f>ROUND(F16*$B$4/100*J17/365,2)</f>
        <v/>
      </c>
      <c r="E17" s="36">
        <f>C17-D17</f>
        <v/>
      </c>
      <c r="F17" s="34">
        <f>F16-E17</f>
        <v/>
      </c>
      <c r="G17" s="37">
        <f>ROUND(($B$3+$E$5)/$E$3,2)</f>
        <v/>
      </c>
      <c r="H17" s="37">
        <f>H16-G17</f>
        <v/>
      </c>
      <c r="I17" s="39">
        <f>B17-B16</f>
        <v/>
      </c>
      <c r="J17" s="39">
        <f>B17-B16</f>
        <v/>
      </c>
    </row>
    <row r="18" ht="15" customHeight="1" s="22">
      <c r="A18" s="24" t="n">
        <v>9</v>
      </c>
      <c r="B18" s="33">
        <f>EOMONTH($E$5,9)</f>
        <v/>
      </c>
      <c r="C18" s="34">
        <f>IF(9=$B$5,F17+D18,$H$4)</f>
        <v/>
      </c>
      <c r="D18" s="35">
        <f>ROUND(F17*$B$4/100*J18/365,2)</f>
        <v/>
      </c>
      <c r="E18" s="36">
        <f>C18-D18</f>
        <v/>
      </c>
      <c r="F18" s="34">
        <f>F17-E18</f>
        <v/>
      </c>
      <c r="G18" s="37">
        <f>ROUND(($B$3+$E$5)/$E$3,2)</f>
        <v/>
      </c>
      <c r="H18" s="37">
        <f>H17-G18</f>
        <v/>
      </c>
      <c r="I18" s="39">
        <f>B18-B17</f>
        <v/>
      </c>
      <c r="J18" s="39">
        <f>B18-B17</f>
        <v/>
      </c>
    </row>
    <row r="19" ht="15" customHeight="1" s="22">
      <c r="A19" s="24" t="n">
        <v>10</v>
      </c>
      <c r="B19" s="33">
        <f>EOMONTH($E$5,10)</f>
        <v/>
      </c>
      <c r="C19" s="34">
        <f>IF(10=$B$5,F18+D19,$H$4)</f>
        <v/>
      </c>
      <c r="D19" s="35">
        <f>ROUND(F18*$B$4/100*J19/365,2)</f>
        <v/>
      </c>
      <c r="E19" s="36">
        <f>C19-D19</f>
        <v/>
      </c>
      <c r="F19" s="34">
        <f>F18-E19</f>
        <v/>
      </c>
      <c r="G19" s="37">
        <f>ROUND(($B$3+$E$5)/$E$3,2)</f>
        <v/>
      </c>
      <c r="H19" s="37">
        <f>H18-G19</f>
        <v/>
      </c>
      <c r="I19" s="39">
        <f>B19-B18</f>
        <v/>
      </c>
      <c r="J19" s="39">
        <f>B19-B18</f>
        <v/>
      </c>
    </row>
    <row r="20" ht="15" customHeight="1" s="22">
      <c r="A20" s="24" t="n">
        <v>11</v>
      </c>
      <c r="B20" s="33">
        <f>EOMONTH($E$5,11)</f>
        <v/>
      </c>
      <c r="C20" s="34">
        <f>IF(11=$B$5,F19+D20,$H$4)</f>
        <v/>
      </c>
      <c r="D20" s="35">
        <f>ROUND(F19*$B$4/100*J20/365,2)</f>
        <v/>
      </c>
      <c r="E20" s="36">
        <f>C20-D20</f>
        <v/>
      </c>
      <c r="F20" s="34">
        <f>F19-E20</f>
        <v/>
      </c>
      <c r="G20" s="37">
        <f>ROUND(($B$3+$E$5)/$E$3,2)</f>
        <v/>
      </c>
      <c r="H20" s="37">
        <f>H19-G20</f>
        <v/>
      </c>
      <c r="I20" s="39">
        <f>B20-B19</f>
        <v/>
      </c>
      <c r="J20" s="39">
        <f>B20-B19</f>
        <v/>
      </c>
    </row>
    <row r="21" ht="15" customHeight="1" s="22">
      <c r="A21" s="24" t="n">
        <v>12</v>
      </c>
      <c r="B21" s="33">
        <f>EOMONTH($E$5,12)</f>
        <v/>
      </c>
      <c r="C21" s="34">
        <f>IF(12=$B$5,F20+D21,$H$4)</f>
        <v/>
      </c>
      <c r="D21" s="35">
        <f>ROUND(F20*$B$4/100*J21/365,2)</f>
        <v/>
      </c>
      <c r="E21" s="36">
        <f>C21-D21</f>
        <v/>
      </c>
      <c r="F21" s="34">
        <f>F20-E21</f>
        <v/>
      </c>
      <c r="G21" s="37">
        <f>ROUND(($B$3+$E$5)/$E$3,2)</f>
        <v/>
      </c>
      <c r="H21" s="37">
        <f>H20-G21</f>
        <v/>
      </c>
      <c r="I21" s="39">
        <f>B21-B20</f>
        <v/>
      </c>
      <c r="J21" s="39">
        <f>B21-B20</f>
        <v/>
      </c>
    </row>
    <row r="22" ht="15" customHeight="1" s="22">
      <c r="A22" s="24" t="n">
        <v>13</v>
      </c>
      <c r="B22" s="33">
        <f>EOMONTH($E$5,13)</f>
        <v/>
      </c>
      <c r="C22" s="34">
        <f>IF(13=$B$5,F21+D22,$H$4)</f>
        <v/>
      </c>
      <c r="D22" s="35">
        <f>ROUND(F21*$B$4/100*J22/365,2)</f>
        <v/>
      </c>
      <c r="E22" s="36">
        <f>C22-D22</f>
        <v/>
      </c>
      <c r="F22" s="34">
        <f>F21-E22</f>
        <v/>
      </c>
      <c r="G22" s="37">
        <f>ROUND(($B$3+$E$5)/$E$3,2)</f>
        <v/>
      </c>
      <c r="H22" s="37">
        <f>H21-G22</f>
        <v/>
      </c>
      <c r="I22" s="39">
        <f>B22-B21</f>
        <v/>
      </c>
      <c r="J22" s="39">
        <f>B22-B21</f>
        <v/>
      </c>
    </row>
    <row r="23" ht="15" customHeight="1" s="22">
      <c r="A23" s="24" t="n">
        <v>14</v>
      </c>
      <c r="B23" s="33">
        <f>EOMONTH($E$5,14)</f>
        <v/>
      </c>
      <c r="C23" s="34">
        <f>IF(14=$B$5,F22+D23,$H$4)</f>
        <v/>
      </c>
      <c r="D23" s="35">
        <f>ROUND(F22*$B$4/100*J23/365,2)</f>
        <v/>
      </c>
      <c r="E23" s="36">
        <f>C23-D23</f>
        <v/>
      </c>
      <c r="F23" s="34">
        <f>F22-E23</f>
        <v/>
      </c>
      <c r="G23" s="37">
        <f>ROUND(($B$3+$E$5)/$E$3,2)</f>
        <v/>
      </c>
      <c r="H23" s="37">
        <f>H22-G23</f>
        <v/>
      </c>
      <c r="I23" s="39">
        <f>B23-B22</f>
        <v/>
      </c>
      <c r="J23" s="39">
        <f>B23-B22</f>
        <v/>
      </c>
    </row>
    <row r="24" ht="15" customHeight="1" s="22">
      <c r="A24" s="24" t="n">
        <v>15</v>
      </c>
      <c r="B24" s="33">
        <f>EOMONTH($E$5,15)</f>
        <v/>
      </c>
      <c r="C24" s="34">
        <f>IF(15=$B$5,F23+D24,$H$4)</f>
        <v/>
      </c>
      <c r="D24" s="35">
        <f>ROUND(F23*$B$4/100*J24/365,2)</f>
        <v/>
      </c>
      <c r="E24" s="36">
        <f>C24-D24</f>
        <v/>
      </c>
      <c r="F24" s="34">
        <f>F23-E24</f>
        <v/>
      </c>
      <c r="G24" s="37">
        <f>ROUND(($B$3+$E$5)/$E$3,2)</f>
        <v/>
      </c>
      <c r="H24" s="37">
        <f>H23-G24</f>
        <v/>
      </c>
      <c r="I24" s="39">
        <f>B24-B23</f>
        <v/>
      </c>
      <c r="J24" s="39">
        <f>B24-B23</f>
        <v/>
      </c>
    </row>
    <row r="25" ht="15" customHeight="1" s="22">
      <c r="A25" s="24" t="n">
        <v>16</v>
      </c>
      <c r="B25" s="33">
        <f>EOMONTH($E$5,16)</f>
        <v/>
      </c>
      <c r="C25" s="34">
        <f>IF(16=$B$5,F24+D25,$H$4)</f>
        <v/>
      </c>
      <c r="D25" s="35">
        <f>ROUND(F24*$B$4/100*J25/365,2)</f>
        <v/>
      </c>
      <c r="E25" s="36">
        <f>C25-D25</f>
        <v/>
      </c>
      <c r="F25" s="34">
        <f>F24-E25</f>
        <v/>
      </c>
      <c r="G25" s="37">
        <f>ROUND(($B$3+$E$5)/$E$3,2)</f>
        <v/>
      </c>
      <c r="H25" s="37">
        <f>H24-G25</f>
        <v/>
      </c>
      <c r="I25" s="39">
        <f>B25-B24</f>
        <v/>
      </c>
      <c r="J25" s="39">
        <f>B25-B24</f>
        <v/>
      </c>
    </row>
    <row r="26" ht="15" customHeight="1" s="22">
      <c r="A26" s="24" t="n">
        <v>17</v>
      </c>
      <c r="B26" s="33">
        <f>EOMONTH($E$5,17)</f>
        <v/>
      </c>
      <c r="C26" s="34">
        <f>IF(17=$B$5,F25+D26,$H$4)</f>
        <v/>
      </c>
      <c r="D26" s="35">
        <f>ROUND(F25*$B$4/100*J26/365,2)</f>
        <v/>
      </c>
      <c r="E26" s="36">
        <f>C26-D26</f>
        <v/>
      </c>
      <c r="F26" s="34">
        <f>F25-E26</f>
        <v/>
      </c>
      <c r="G26" s="37">
        <f>ROUND(($B$3+$E$5)/$E$3,2)</f>
        <v/>
      </c>
      <c r="H26" s="37">
        <f>H25-G26</f>
        <v/>
      </c>
      <c r="I26" s="39">
        <f>B26-B25</f>
        <v/>
      </c>
      <c r="J26" s="39">
        <f>B26-B25</f>
        <v/>
      </c>
    </row>
    <row r="27" ht="15" customHeight="1" s="22">
      <c r="A27" s="24" t="n">
        <v>18</v>
      </c>
      <c r="B27" s="33">
        <f>EOMONTH($E$5,18)</f>
        <v/>
      </c>
      <c r="C27" s="34">
        <f>IF(18=$B$5,F26+D27,$H$4)</f>
        <v/>
      </c>
      <c r="D27" s="35">
        <f>ROUND(F26*$B$4/100*J27/365,2)</f>
        <v/>
      </c>
      <c r="E27" s="36">
        <f>C27-D27</f>
        <v/>
      </c>
      <c r="F27" s="34">
        <f>F26-E27</f>
        <v/>
      </c>
      <c r="G27" s="37">
        <f>ROUND(($B$3+$E$5)/$E$3,2)</f>
        <v/>
      </c>
      <c r="H27" s="37">
        <f>H26-G27</f>
        <v/>
      </c>
      <c r="I27" s="39">
        <f>B27-B26</f>
        <v/>
      </c>
      <c r="J27" s="39">
        <f>B27-B26</f>
        <v/>
      </c>
    </row>
    <row r="28" ht="15" customHeight="1" s="22">
      <c r="A28" s="24" t="n">
        <v>19</v>
      </c>
      <c r="B28" s="33">
        <f>EOMONTH($E$5,19)</f>
        <v/>
      </c>
      <c r="C28" s="34">
        <f>IF(19=$B$5,F27+D28,$H$4)</f>
        <v/>
      </c>
      <c r="D28" s="35">
        <f>ROUND(F27*$B$4/100*J28/365,2)</f>
        <v/>
      </c>
      <c r="E28" s="36">
        <f>C28-D28</f>
        <v/>
      </c>
      <c r="F28" s="34">
        <f>F27-E28</f>
        <v/>
      </c>
      <c r="G28" s="37">
        <f>ROUND(($B$3+$E$5)/$E$3,2)</f>
        <v/>
      </c>
      <c r="H28" s="37">
        <f>H27-G28</f>
        <v/>
      </c>
      <c r="I28" s="39">
        <f>B28-B27</f>
        <v/>
      </c>
      <c r="J28" s="39">
        <f>B28-B27</f>
        <v/>
      </c>
    </row>
    <row r="29" ht="15" customHeight="1" s="22">
      <c r="A29" s="24" t="n">
        <v>20</v>
      </c>
      <c r="B29" s="33">
        <f>EOMONTH($E$5,20)</f>
        <v/>
      </c>
      <c r="C29" s="34">
        <f>IF(20=$B$5,F28+D29,$H$4)</f>
        <v/>
      </c>
      <c r="D29" s="35">
        <f>ROUND(F28*$B$4/100*J29/365,2)</f>
        <v/>
      </c>
      <c r="E29" s="36">
        <f>C29-D29</f>
        <v/>
      </c>
      <c r="F29" s="34">
        <f>F28-E29</f>
        <v/>
      </c>
      <c r="G29" s="37">
        <f>ROUND(($B$3+$E$5)/$E$3,2)</f>
        <v/>
      </c>
      <c r="H29" s="37">
        <f>H28-G29</f>
        <v/>
      </c>
      <c r="I29" s="39">
        <f>B29-B28</f>
        <v/>
      </c>
      <c r="J29" s="39">
        <f>B29-B28</f>
        <v/>
      </c>
    </row>
    <row r="30" ht="15" customHeight="1" s="22">
      <c r="A30" s="24" t="n">
        <v>21</v>
      </c>
      <c r="B30" s="33">
        <f>EOMONTH($E$5,21)</f>
        <v/>
      </c>
      <c r="C30" s="34">
        <f>IF(21=$B$5,F29+D30,$H$4)</f>
        <v/>
      </c>
      <c r="D30" s="35">
        <f>ROUND(F29*$B$4/100*J30/365,2)</f>
        <v/>
      </c>
      <c r="E30" s="36">
        <f>C30-D30</f>
        <v/>
      </c>
      <c r="F30" s="34">
        <f>F29-E30</f>
        <v/>
      </c>
      <c r="G30" s="37">
        <f>ROUND(($B$3+$E$5)/$E$3,2)</f>
        <v/>
      </c>
      <c r="H30" s="37">
        <f>H29-G30</f>
        <v/>
      </c>
      <c r="I30" s="39">
        <f>B30-B29</f>
        <v/>
      </c>
      <c r="J30" s="39">
        <f>B30-B29</f>
        <v/>
      </c>
    </row>
    <row r="31" ht="15" customHeight="1" s="22">
      <c r="A31" s="24" t="n">
        <v>22</v>
      </c>
      <c r="B31" s="33">
        <f>EOMONTH($E$5,22)</f>
        <v/>
      </c>
      <c r="C31" s="34">
        <f>IF(22=$B$5,F30+D31,$H$4)</f>
        <v/>
      </c>
      <c r="D31" s="35">
        <f>ROUND(F30*$B$4/100*J31/365,2)</f>
        <v/>
      </c>
      <c r="E31" s="36">
        <f>C31-D31</f>
        <v/>
      </c>
      <c r="F31" s="34">
        <f>F30-E31</f>
        <v/>
      </c>
      <c r="G31" s="37">
        <f>ROUND(($B$3+$E$5)/$E$3,2)</f>
        <v/>
      </c>
      <c r="H31" s="37">
        <f>H30-G31</f>
        <v/>
      </c>
      <c r="I31" s="39">
        <f>B31-B30</f>
        <v/>
      </c>
      <c r="J31" s="39">
        <f>B31-B30</f>
        <v/>
      </c>
    </row>
    <row r="32" ht="15" customHeight="1" s="22">
      <c r="A32" s="24" t="n">
        <v>23</v>
      </c>
      <c r="B32" s="33">
        <f>EOMONTH($E$5,23)</f>
        <v/>
      </c>
      <c r="C32" s="34">
        <f>IF(23=$B$5,F31+D32,$H$4)</f>
        <v/>
      </c>
      <c r="D32" s="35">
        <f>ROUND(F31*$B$4/100*J32/365,2)</f>
        <v/>
      </c>
      <c r="E32" s="36">
        <f>C32-D32</f>
        <v/>
      </c>
      <c r="F32" s="34">
        <f>F31-E32</f>
        <v/>
      </c>
      <c r="G32" s="37">
        <f>ROUND(($B$3+$E$5)/$E$3,2)</f>
        <v/>
      </c>
      <c r="H32" s="37">
        <f>H31-G32</f>
        <v/>
      </c>
      <c r="I32" s="39">
        <f>B32-B31</f>
        <v/>
      </c>
      <c r="J32" s="39">
        <f>B32-B31</f>
        <v/>
      </c>
    </row>
    <row r="33" ht="15" customHeight="1" s="22">
      <c r="A33" s="24" t="n">
        <v>24</v>
      </c>
      <c r="B33" s="33">
        <f>EOMONTH($E$5,24)</f>
        <v/>
      </c>
      <c r="C33" s="34">
        <f>IF(24=$B$5,F32+D33,$H$4)</f>
        <v/>
      </c>
      <c r="D33" s="35">
        <f>ROUND(F32*$B$4/100*J33/365,2)</f>
        <v/>
      </c>
      <c r="E33" s="36">
        <f>C33-D33</f>
        <v/>
      </c>
      <c r="F33" s="34">
        <f>F32-E33</f>
        <v/>
      </c>
      <c r="G33" s="37">
        <f>ROUND(($B$3+$E$5)/$E$3,2)</f>
        <v/>
      </c>
      <c r="H33" s="37">
        <f>H32-G33</f>
        <v/>
      </c>
      <c r="I33" s="39">
        <f>B33-B32</f>
        <v/>
      </c>
      <c r="J33" s="39">
        <f>B33-B32</f>
        <v/>
      </c>
    </row>
    <row r="34" ht="15" customHeight="1" s="22">
      <c r="A34" s="24" t="n">
        <v>25</v>
      </c>
      <c r="B34" s="33">
        <f>EOMONTH($E$5,25)</f>
        <v/>
      </c>
      <c r="C34" s="34">
        <f>IF(25=$B$5,F33+D34,$H$4)</f>
        <v/>
      </c>
      <c r="D34" s="35">
        <f>ROUND(F33*$B$4/100*J34/365,2)</f>
        <v/>
      </c>
      <c r="E34" s="36">
        <f>C34-D34</f>
        <v/>
      </c>
      <c r="F34" s="34">
        <f>F33-E34</f>
        <v/>
      </c>
      <c r="G34" s="37">
        <f>ROUND(($B$3+$E$5)/$E$3,2)</f>
        <v/>
      </c>
      <c r="H34" s="37">
        <f>H33-G34</f>
        <v/>
      </c>
      <c r="I34" s="39">
        <f>B34-B33</f>
        <v/>
      </c>
      <c r="J34" s="39">
        <f>B34-B33</f>
        <v/>
      </c>
    </row>
    <row r="35" ht="15" customHeight="1" s="22">
      <c r="A35" s="24" t="n">
        <v>26</v>
      </c>
      <c r="B35" s="33">
        <f>EOMONTH($E$5,26)</f>
        <v/>
      </c>
      <c r="C35" s="34">
        <f>IF(26=$B$5,F34+D35,$H$4)</f>
        <v/>
      </c>
      <c r="D35" s="35">
        <f>ROUND(F34*$B$4/100*J35/365,2)</f>
        <v/>
      </c>
      <c r="E35" s="36">
        <f>C35-D35</f>
        <v/>
      </c>
      <c r="F35" s="34">
        <f>F34-E35</f>
        <v/>
      </c>
      <c r="G35" s="37">
        <f>ROUND(($B$3+$E$5)/$E$3,2)</f>
        <v/>
      </c>
      <c r="H35" s="37">
        <f>H34-G35</f>
        <v/>
      </c>
      <c r="I35" s="39">
        <f>B35-B34</f>
        <v/>
      </c>
      <c r="J35" s="39">
        <f>B35-B34</f>
        <v/>
      </c>
    </row>
    <row r="36" ht="15" customHeight="1" s="22">
      <c r="A36" s="24" t="n">
        <v>27</v>
      </c>
      <c r="B36" s="33">
        <f>EOMONTH($E$5,27)</f>
        <v/>
      </c>
      <c r="C36" s="34">
        <f>IF(27=$B$5,F35+D36,$H$4)</f>
        <v/>
      </c>
      <c r="D36" s="35">
        <f>ROUND(F35*$B$4/100*J36/365,2)</f>
        <v/>
      </c>
      <c r="E36" s="36">
        <f>C36-D36</f>
        <v/>
      </c>
      <c r="F36" s="34">
        <f>F35-E36</f>
        <v/>
      </c>
      <c r="G36" s="37">
        <f>ROUND(($B$3+$E$5)/$E$3,2)</f>
        <v/>
      </c>
      <c r="H36" s="37">
        <f>H35-G36</f>
        <v/>
      </c>
      <c r="I36" s="39">
        <f>B36-B35</f>
        <v/>
      </c>
      <c r="J36" s="39">
        <f>B36-B35</f>
        <v/>
      </c>
    </row>
    <row r="37" ht="15" customHeight="1" s="22">
      <c r="A37" s="24" t="n">
        <v>28</v>
      </c>
      <c r="B37" s="33">
        <f>EOMONTH($E$5,28)</f>
        <v/>
      </c>
      <c r="C37" s="34">
        <f>IF(28=$B$5,F36+D37,$H$4)</f>
        <v/>
      </c>
      <c r="D37" s="35">
        <f>ROUND(F36*$B$4/100*J37/365,2)</f>
        <v/>
      </c>
      <c r="E37" s="36">
        <f>C37-D37</f>
        <v/>
      </c>
      <c r="F37" s="34">
        <f>F36-E37</f>
        <v/>
      </c>
      <c r="G37" s="37">
        <f>ROUND(($B$3+$E$5)/$E$3,2)</f>
        <v/>
      </c>
      <c r="H37" s="37">
        <f>H36-G37</f>
        <v/>
      </c>
      <c r="I37" s="39">
        <f>B37-B36</f>
        <v/>
      </c>
      <c r="J37" s="39">
        <f>B37-B36</f>
        <v/>
      </c>
    </row>
    <row r="38" ht="15" customHeight="1" s="22">
      <c r="A38" s="24" t="n">
        <v>29</v>
      </c>
      <c r="B38" s="33">
        <f>EOMONTH($E$5,29)</f>
        <v/>
      </c>
      <c r="C38" s="34">
        <f>IF(29=$B$5,F37+D38,$H$4)</f>
        <v/>
      </c>
      <c r="D38" s="35">
        <f>ROUND(F37*$B$4/100*J38/365,2)</f>
        <v/>
      </c>
      <c r="E38" s="36">
        <f>C38-D38</f>
        <v/>
      </c>
      <c r="F38" s="34">
        <f>F37-E38</f>
        <v/>
      </c>
      <c r="G38" s="37">
        <f>ROUND(($B$3+$E$5)/$E$3,2)</f>
        <v/>
      </c>
      <c r="H38" s="37">
        <f>H37-G38</f>
        <v/>
      </c>
      <c r="I38" s="39">
        <f>B38-B37</f>
        <v/>
      </c>
      <c r="J38" s="39">
        <f>B38-B37</f>
        <v/>
      </c>
    </row>
    <row r="39" ht="15" customHeight="1" s="22">
      <c r="A39" s="24" t="n">
        <v>30</v>
      </c>
      <c r="B39" s="33">
        <f>EOMONTH($E$5,30)</f>
        <v/>
      </c>
      <c r="C39" s="34">
        <f>IF(30=$B$5,F38+D39,$H$4)</f>
        <v/>
      </c>
      <c r="D39" s="35">
        <f>ROUND(F38*$B$4/100*J39/365,2)</f>
        <v/>
      </c>
      <c r="E39" s="36">
        <f>C39-D39</f>
        <v/>
      </c>
      <c r="F39" s="34">
        <f>F38-E39</f>
        <v/>
      </c>
      <c r="G39" s="37">
        <f>ROUND(($B$3+$E$5)/$E$3,2)</f>
        <v/>
      </c>
      <c r="H39" s="37">
        <f>H38-G39</f>
        <v/>
      </c>
      <c r="I39" s="39">
        <f>B39-B38</f>
        <v/>
      </c>
      <c r="J39" s="39">
        <f>B39-B38</f>
        <v/>
      </c>
    </row>
    <row r="40" ht="15" customHeight="1" s="22">
      <c r="A40" s="24" t="n">
        <v>31</v>
      </c>
      <c r="B40" s="33">
        <f>EOMONTH($E$5,31)</f>
        <v/>
      </c>
      <c r="C40" s="34">
        <f>IF(31=$B$5,F39+D40,$H$4)</f>
        <v/>
      </c>
      <c r="D40" s="35">
        <f>ROUND(F39*$B$4/100*J40/365,2)</f>
        <v/>
      </c>
      <c r="E40" s="36">
        <f>C40-D40</f>
        <v/>
      </c>
      <c r="F40" s="34">
        <f>F39-E40</f>
        <v/>
      </c>
      <c r="G40" s="37">
        <f>ROUND(($B$3+$E$5)/$E$3,2)</f>
        <v/>
      </c>
      <c r="H40" s="37">
        <f>H39-G40</f>
        <v/>
      </c>
      <c r="I40" s="39">
        <f>B40-B39</f>
        <v/>
      </c>
      <c r="J40" s="39">
        <f>B40-B39</f>
        <v/>
      </c>
    </row>
    <row r="41" ht="15" customHeight="1" s="22">
      <c r="A41" s="24" t="n">
        <v>32</v>
      </c>
      <c r="B41" s="33">
        <f>EOMONTH($E$5,32)</f>
        <v/>
      </c>
      <c r="C41" s="34">
        <f>IF(32=$B$5,F40+D41,$H$4)</f>
        <v/>
      </c>
      <c r="D41" s="35">
        <f>ROUND(F40*$B$4/100*J41/365,2)</f>
        <v/>
      </c>
      <c r="E41" s="36">
        <f>C41-D41</f>
        <v/>
      </c>
      <c r="F41" s="34">
        <f>F40-E41</f>
        <v/>
      </c>
      <c r="G41" s="37">
        <f>ROUND(($B$3+$E$5)/$E$3,2)</f>
        <v/>
      </c>
      <c r="H41" s="37">
        <f>H40-G41</f>
        <v/>
      </c>
      <c r="I41" s="39">
        <f>B41-B40</f>
        <v/>
      </c>
      <c r="J41" s="39">
        <f>B41-B40</f>
        <v/>
      </c>
    </row>
    <row r="42" ht="15" customHeight="1" s="22">
      <c r="A42" s="24" t="n">
        <v>33</v>
      </c>
      <c r="B42" s="33">
        <f>EOMONTH($E$5,33)</f>
        <v/>
      </c>
      <c r="C42" s="34">
        <f>IF(33=$B$5,F41+D42,$H$4)</f>
        <v/>
      </c>
      <c r="D42" s="35">
        <f>ROUND(F41*$B$4/100*J42/365,2)</f>
        <v/>
      </c>
      <c r="E42" s="36">
        <f>C42-D42</f>
        <v/>
      </c>
      <c r="F42" s="34">
        <f>F41-E42</f>
        <v/>
      </c>
      <c r="G42" s="37">
        <f>ROUND(($B$3+$E$5)/$E$3,2)</f>
        <v/>
      </c>
      <c r="H42" s="37">
        <f>H41-G42</f>
        <v/>
      </c>
      <c r="I42" s="39">
        <f>B42-B41</f>
        <v/>
      </c>
      <c r="J42" s="39">
        <f>B42-B41</f>
        <v/>
      </c>
    </row>
    <row r="43" ht="15" customHeight="1" s="22">
      <c r="A43" s="24" t="n">
        <v>34</v>
      </c>
      <c r="B43" s="33">
        <f>EOMONTH($E$5,34)</f>
        <v/>
      </c>
      <c r="C43" s="34">
        <f>IF(34=$B$5,F42+D43,$H$4)</f>
        <v/>
      </c>
      <c r="D43" s="35">
        <f>ROUND(F42*$B$4/100*J43/365,2)</f>
        <v/>
      </c>
      <c r="E43" s="36">
        <f>C43-D43</f>
        <v/>
      </c>
      <c r="F43" s="34">
        <f>F42-E43</f>
        <v/>
      </c>
      <c r="G43" s="37">
        <f>ROUND(($B$3+$E$5)/$E$3,2)</f>
        <v/>
      </c>
      <c r="H43" s="37">
        <f>H42-G43</f>
        <v/>
      </c>
      <c r="I43" s="39">
        <f>B43-B42</f>
        <v/>
      </c>
      <c r="J43" s="39">
        <f>B43-B42</f>
        <v/>
      </c>
    </row>
    <row r="44" ht="15" customHeight="1" s="22">
      <c r="A44" s="24" t="n">
        <v>35</v>
      </c>
      <c r="B44" s="33">
        <f>EOMONTH($E$5,35)</f>
        <v/>
      </c>
      <c r="C44" s="34">
        <f>IF(35=$B$5,F43+D44,$H$4)</f>
        <v/>
      </c>
      <c r="D44" s="35">
        <f>ROUND(F43*$B$4/100*J44/365,2)</f>
        <v/>
      </c>
      <c r="E44" s="36">
        <f>C44-D44</f>
        <v/>
      </c>
      <c r="F44" s="34">
        <f>F43-E44</f>
        <v/>
      </c>
      <c r="G44" s="37">
        <f>ROUND(($B$3+$E$5)/$E$3,2)</f>
        <v/>
      </c>
      <c r="H44" s="37">
        <f>H43-G44</f>
        <v/>
      </c>
      <c r="I44" s="39">
        <f>B44-B43</f>
        <v/>
      </c>
      <c r="J44" s="39">
        <f>B44-B43</f>
        <v/>
      </c>
    </row>
    <row r="45" ht="15" customHeight="1" s="22">
      <c r="A45" s="24" t="n">
        <v>36</v>
      </c>
      <c r="B45" s="33">
        <f>EOMONTH($E$5,36)</f>
        <v/>
      </c>
      <c r="C45" s="34">
        <f>IF(36=$B$5,F44+D45,$H$4)</f>
        <v/>
      </c>
      <c r="D45" s="35">
        <f>ROUND(F44*$B$4/100*J45/365,2)</f>
        <v/>
      </c>
      <c r="E45" s="36">
        <f>C45-D45</f>
        <v/>
      </c>
      <c r="F45" s="34">
        <f>F44-E45</f>
        <v/>
      </c>
      <c r="G45" s="37">
        <f>ROUND(($B$3+$E$5)/$E$3,2)</f>
        <v/>
      </c>
      <c r="H45" s="37">
        <f>H44-G45</f>
        <v/>
      </c>
      <c r="I45" s="39">
        <f>B45-B44</f>
        <v/>
      </c>
      <c r="J45" s="39">
        <f>B45-B44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1" min="1" max="1"/>
    <col width="16" customWidth="1" style="21" min="3" max="3"/>
    <col width="72" customWidth="1" style="21" min="4" max="4"/>
  </cols>
  <sheetData>
    <row r="1" ht="16.15" customHeight="1" s="22">
      <c r="A1" s="23" t="inlineStr">
        <is>
          <t>LEASE-DEMO-001 — Maturity Profile</t>
        </is>
      </c>
    </row>
    <row r="3" ht="15" customHeight="1" s="22">
      <c r="A3" s="40" t="inlineStr">
        <is>
          <t>GL Classification — Aging</t>
        </is>
      </c>
      <c r="D3" s="41" t="inlineStr">
        <is>
          <t>ที่มา / วิธีคิด (อ้างอิงแท็บ schedule)</t>
        </is>
      </c>
    </row>
    <row r="4" ht="15" customHeight="1" s="22">
      <c r="A4" s="24" t="inlineStr">
        <is>
          <t>Current Portion (≤ 12 เดือน)</t>
        </is>
      </c>
      <c r="C4" s="34">
        <f>SUM(Leasing!E10:E21)</f>
        <v/>
      </c>
      <c r="D4" s="42" t="inlineStr">
        <is>
          <t>รวม "เงินต้นตัดต่องวด" (คอลัมน์ PRINCIPAL (ตัดต้น) — ตัวเลขสีเขียว) ของงวดที่ 1–12</t>
        </is>
      </c>
    </row>
    <row r="5" ht="15" customHeight="1" s="22">
      <c r="A5" s="24" t="inlineStr">
        <is>
          <t>Non-current (&gt; 12 เดือน)</t>
        </is>
      </c>
      <c r="C5" s="34">
        <f>SUM(Leasing!E22:E45)</f>
        <v/>
      </c>
      <c r="D5" s="42" t="inlineStr">
        <is>
          <t>รวม "เงินต้นตัดต่องวด" (PRINCIPAL สีเขียว) ของงวดที่ 13–36  (หรือ Total ลบ Current)</t>
        </is>
      </c>
    </row>
    <row r="6" ht="15" customHeight="1" s="22">
      <c r="A6" s="29" t="inlineStr">
        <is>
          <t>Total Principal</t>
        </is>
      </c>
      <c r="C6" s="30">
        <f>Leasing!$B$3</f>
        <v/>
      </c>
      <c r="D6" s="42" t="inlineStr">
        <is>
          <t>เงินต้นตั้งต้น — ช่อง PRINCIPAL / ROU (มุมบนซ้ายของแท็บ schedule)</t>
        </is>
      </c>
    </row>
    <row r="8" ht="14.15" customHeight="1" s="22">
      <c r="A8" s="40" t="inlineStr">
        <is>
          <t>ภาระผูกพันในอนาคต (เงินต้น + ดอกเบี้ย ยังไม่คิดลด)</t>
        </is>
      </c>
      <c r="D8" s="41" t="inlineStr">
        <is>
          <t>ที่มา / วิธีคิด</t>
        </is>
      </c>
    </row>
    <row r="9" ht="15" customHeight="1" s="22">
      <c r="A9" s="24" t="inlineStr">
        <is>
          <t>ภายใน 1 ปี</t>
        </is>
      </c>
      <c r="C9" s="34">
        <f>SUMPRODUCT((Leasing!A10:A45&lt;=12)*(Leasing!E10:E45+Leasing!D10:D45))</f>
        <v/>
      </c>
      <c r="D9" s="42" t="inlineStr">
        <is>
          <t>รวม "เงินต้นตัดต่องวด (PRINCIPAL สีเขียว)" + "ดอกเบี้ย (INTEREST สีส้ม)" ของงวดที่ 1–12  (เงินสดที่จะจ่ายใน 1 ปีข้างหน้า)</t>
        </is>
      </c>
    </row>
    <row r="10" ht="15" customHeight="1" s="22">
      <c r="A10" s="24" t="inlineStr">
        <is>
          <t>1 - 5 ปี</t>
        </is>
      </c>
      <c r="C10" s="34">
        <f>SUMPRODUCT((Leasing!A10:A45&gt;12)*(Leasing!A10:A45&lt;=60)*(Leasing!E10:E45+Leasing!D10:D45))</f>
        <v/>
      </c>
      <c r="D10" s="42" t="inlineStr">
        <is>
          <t>รวม PRINCIPAL (สีเขียว) + INTEREST (สีส้ม) ของงวดที่ 13–60</t>
        </is>
      </c>
    </row>
    <row r="11" ht="15" customHeight="1" s="22">
      <c r="A11" s="24" t="inlineStr">
        <is>
          <t>มากกว่า 5 ปี</t>
        </is>
      </c>
      <c r="C11" s="34">
        <f>SUMPRODUCT((Leasing!A10:A45&gt;60)*(Leasing!E10:E45+Leasing!D10:D45))</f>
        <v/>
      </c>
      <c r="D11" s="42" t="inlineStr">
        <is>
          <t>รวม PRINCIPAL + INTEREST ของงวดที่เกิน 60 เดือน — สัญญามี 36 งวด จึงไม่มี = 0</t>
        </is>
      </c>
    </row>
    <row r="12" ht="15" customHeight="1" s="22">
      <c r="A12" s="29" t="inlineStr">
        <is>
          <t>Total Future Cash Flow</t>
        </is>
      </c>
      <c r="C12" s="30">
        <f>Leasing!$B$3+Leasing!$H$5</f>
        <v/>
      </c>
      <c r="D12" s="42" t="inlineStr">
        <is>
          <t>ช่อง PRINCIPAL บวก "ดอกเบี้ยรวมทั้งสัญญา" (INTEREST สีส้มรวมทุกงวด)  (กระแสเงินสดอนาคตทั้งหมด ยังไม่คิดลด)</t>
        </is>
      </c>
    </row>
    <row r="14" ht="15" customHeight="1" s="22">
      <c r="A14" s="40" t="inlineStr">
        <is>
          <t>Lease Classification: Finance (net/ROU · TFRS16)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21" min="1" max="1"/>
    <col width="12" customWidth="1" style="21" min="2" max="2"/>
    <col width="13" customWidth="1" style="21" min="3" max="3"/>
    <col width="12" customWidth="1" style="21" min="4" max="4"/>
    <col width="16" customWidth="1" style="21" min="5" max="6"/>
    <col width="13" customWidth="1" style="21" min="7" max="8"/>
    <col width="5" customWidth="1" style="21" min="10" max="10"/>
  </cols>
  <sheetData>
    <row r="1" ht="15" customHeight="1" s="22">
      <c r="A1" s="23" t="inlineStr">
        <is>
          <t>LSO-DEMO-001 — Lease Other (เช่าอาคาร · net/ROU)</t>
        </is>
      </c>
    </row>
    <row r="3" ht="15" customHeight="1" s="22">
      <c r="A3" s="24" t="inlineStr">
        <is>
          <t>PRINCIPAL / ROU (NPV)</t>
        </is>
      </c>
      <c r="B3" s="25" t="n">
        <v>900000</v>
      </c>
      <c r="D3" s="24" t="inlineStr">
        <is>
          <t>ROU LIFE (เดือน)</t>
        </is>
      </c>
      <c r="E3" s="26" t="n">
        <v>60</v>
      </c>
    </row>
    <row r="4" ht="15" customHeight="1" s="22">
      <c r="A4" s="24" t="inlineStr">
        <is>
          <t>RATE / YEAR (%)</t>
        </is>
      </c>
      <c r="B4" s="27" t="n">
        <v>3.5</v>
      </c>
      <c r="D4" s="24" t="inlineStr">
        <is>
          <t>PAYMENT START DATE</t>
        </is>
      </c>
      <c r="E4" s="28" t="n">
        <v>46295</v>
      </c>
      <c r="G4" s="29" t="inlineStr">
        <is>
          <t>INSTALLMENT = PMT (แก้เป็นค่าระบบได้)</t>
        </is>
      </c>
      <c r="H4" s="30">
        <f>ROUND(-PMT($B$4/100/12,$B$5,$B$3),2)</f>
        <v/>
      </c>
    </row>
    <row r="5" ht="15" customHeight="1" s="22">
      <c r="A5" s="24" t="inlineStr">
        <is>
          <t>TERM (MONTHS)</t>
        </is>
      </c>
      <c r="B5" s="26" t="n">
        <v>60</v>
      </c>
      <c r="D5" s="24" t="inlineStr">
        <is>
          <t>UPFRONT (จ่ายล่วงหน้าวันแรก)</t>
        </is>
      </c>
      <c r="E5" s="31" t="n">
        <v>50000</v>
      </c>
      <c r="G5" s="29" t="inlineStr">
        <is>
          <t>ดอกเบี้ยรวมทั้งสัญญา</t>
        </is>
      </c>
      <c r="H5" s="30">
        <f>SUM(D10:D69)</f>
        <v/>
      </c>
    </row>
    <row r="9" ht="23.85" customHeight="1" s="22">
      <c r="A9" s="32" t="inlineStr">
        <is>
          <t>#</t>
        </is>
      </c>
      <c r="B9" s="32" t="inlineStr">
        <is>
          <t>PAYMENT DATE</t>
        </is>
      </c>
      <c r="C9" s="32" t="inlineStr">
        <is>
          <t>INSTALLMENT</t>
        </is>
      </c>
      <c r="D9" s="32" t="inlineStr">
        <is>
          <t>INTEREST</t>
        </is>
      </c>
      <c r="E9" s="32" t="inlineStr">
        <is>
          <t>PRINCIPAL (ตัดต้น)</t>
        </is>
      </c>
      <c r="F9" s="32" t="inlineStr">
        <is>
          <t>LIABILITY BALANCE</t>
        </is>
      </c>
      <c r="G9" s="32" t="inlineStr">
        <is>
          <t>DEPRECIATION</t>
        </is>
      </c>
      <c r="H9" s="32" t="inlineStr">
        <is>
          <t>ROU BALANCE</t>
        </is>
      </c>
    </row>
    <row r="10" ht="15" customHeight="1" s="22">
      <c r="A10" s="24" t="n">
        <v>1</v>
      </c>
      <c r="B10" s="33">
        <f>EOMONTH($E$5,1)</f>
        <v/>
      </c>
      <c r="C10" s="34">
        <f>IF(1=$B$5,F9+D10,$H$4)</f>
        <v/>
      </c>
      <c r="D10" s="35">
        <f>ROUND($B$3*$B$4/100*J10/365,2)</f>
        <v/>
      </c>
      <c r="E10" s="36">
        <f>C10-D10</f>
        <v/>
      </c>
      <c r="F10" s="34">
        <f>$B$3-E10</f>
        <v/>
      </c>
      <c r="G10" s="37">
        <f>ROUND(($B$3+$E$5)/$E$3,2)</f>
        <v/>
      </c>
      <c r="H10" s="37">
        <f>($B$3+$E$5)-G10</f>
        <v/>
      </c>
      <c r="I10" s="38">
        <f>B10-$E$5</f>
        <v/>
      </c>
      <c r="J10" s="38">
        <f>B10-$E$5</f>
        <v/>
      </c>
    </row>
    <row r="11" ht="15" customHeight="1" s="22">
      <c r="A11" s="24" t="n">
        <v>2</v>
      </c>
      <c r="B11" s="33">
        <f>EOMONTH($E$5,2)</f>
        <v/>
      </c>
      <c r="C11" s="34">
        <f>IF(2=$B$5,F10+D11,$H$4)</f>
        <v/>
      </c>
      <c r="D11" s="35">
        <f>ROUND(F10*$B$4/100*J11/365,2)</f>
        <v/>
      </c>
      <c r="E11" s="36">
        <f>C11-D11</f>
        <v/>
      </c>
      <c r="F11" s="34">
        <f>F10-E11</f>
        <v/>
      </c>
      <c r="G11" s="37">
        <f>ROUND(($B$3+$E$5)/$E$3,2)</f>
        <v/>
      </c>
      <c r="H11" s="37">
        <f>H10-G11</f>
        <v/>
      </c>
      <c r="I11" s="39">
        <f>B11-B10</f>
        <v/>
      </c>
      <c r="J11" s="39">
        <f>B11-B10</f>
        <v/>
      </c>
    </row>
    <row r="12" ht="15" customHeight="1" s="22">
      <c r="A12" s="24" t="n">
        <v>3</v>
      </c>
      <c r="B12" s="33">
        <f>EOMONTH($E$5,3)</f>
        <v/>
      </c>
      <c r="C12" s="34">
        <f>IF(3=$B$5,F11+D12,$H$4)</f>
        <v/>
      </c>
      <c r="D12" s="35">
        <f>ROUND(F11*$B$4/100*J12/365,2)</f>
        <v/>
      </c>
      <c r="E12" s="36">
        <f>C12-D12</f>
        <v/>
      </c>
      <c r="F12" s="34">
        <f>F11-E12</f>
        <v/>
      </c>
      <c r="G12" s="37">
        <f>ROUND(($B$3+$E$5)/$E$3,2)</f>
        <v/>
      </c>
      <c r="H12" s="37">
        <f>H11-G12</f>
        <v/>
      </c>
      <c r="I12" s="39">
        <f>B12-B11</f>
        <v/>
      </c>
      <c r="J12" s="39">
        <f>B12-B11</f>
        <v/>
      </c>
    </row>
    <row r="13" ht="15" customHeight="1" s="22">
      <c r="A13" s="24" t="n">
        <v>4</v>
      </c>
      <c r="B13" s="33">
        <f>EOMONTH($E$5,4)</f>
        <v/>
      </c>
      <c r="C13" s="34">
        <f>IF(4=$B$5,F12+D13,$H$4)</f>
        <v/>
      </c>
      <c r="D13" s="35">
        <f>ROUND(F12*$B$4/100*J13/365,2)</f>
        <v/>
      </c>
      <c r="E13" s="36">
        <f>C13-D13</f>
        <v/>
      </c>
      <c r="F13" s="34">
        <f>F12-E13</f>
        <v/>
      </c>
      <c r="G13" s="37">
        <f>ROUND(($B$3+$E$5)/$E$3,2)</f>
        <v/>
      </c>
      <c r="H13" s="37">
        <f>H12-G13</f>
        <v/>
      </c>
      <c r="I13" s="39">
        <f>B13-B12</f>
        <v/>
      </c>
      <c r="J13" s="39">
        <f>B13-B12</f>
        <v/>
      </c>
    </row>
    <row r="14" ht="15" customHeight="1" s="22">
      <c r="A14" s="24" t="n">
        <v>5</v>
      </c>
      <c r="B14" s="33">
        <f>EOMONTH($E$5,5)</f>
        <v/>
      </c>
      <c r="C14" s="34">
        <f>IF(5=$B$5,F13+D14,$H$4)</f>
        <v/>
      </c>
      <c r="D14" s="35">
        <f>ROUND(F13*$B$4/100*J14/365,2)</f>
        <v/>
      </c>
      <c r="E14" s="36">
        <f>C14-D14</f>
        <v/>
      </c>
      <c r="F14" s="34">
        <f>F13-E14</f>
        <v/>
      </c>
      <c r="G14" s="37">
        <f>ROUND(($B$3+$E$5)/$E$3,2)</f>
        <v/>
      </c>
      <c r="H14" s="37">
        <f>H13-G14</f>
        <v/>
      </c>
      <c r="I14" s="39">
        <f>B14-B13</f>
        <v/>
      </c>
      <c r="J14" s="39">
        <f>B14-B13</f>
        <v/>
      </c>
    </row>
    <row r="15" ht="15" customHeight="1" s="22">
      <c r="A15" s="24" t="n">
        <v>6</v>
      </c>
      <c r="B15" s="33">
        <f>EOMONTH($E$5,6)</f>
        <v/>
      </c>
      <c r="C15" s="34">
        <f>IF(6=$B$5,F14+D15,$H$4)</f>
        <v/>
      </c>
      <c r="D15" s="35">
        <f>ROUND(F14*$B$4/100*J15/365,2)</f>
        <v/>
      </c>
      <c r="E15" s="36">
        <f>C15-D15</f>
        <v/>
      </c>
      <c r="F15" s="34">
        <f>F14-E15</f>
        <v/>
      </c>
      <c r="G15" s="37">
        <f>ROUND(($B$3+$E$5)/$E$3,2)</f>
        <v/>
      </c>
      <c r="H15" s="37">
        <f>H14-G15</f>
        <v/>
      </c>
      <c r="I15" s="39">
        <f>B15-B14</f>
        <v/>
      </c>
      <c r="J15" s="39">
        <f>B15-B14</f>
        <v/>
      </c>
    </row>
    <row r="16" ht="15" customHeight="1" s="22">
      <c r="A16" s="24" t="n">
        <v>7</v>
      </c>
      <c r="B16" s="33">
        <f>EOMONTH($E$5,7)</f>
        <v/>
      </c>
      <c r="C16" s="34">
        <f>IF(7=$B$5,F15+D16,$H$4)</f>
        <v/>
      </c>
      <c r="D16" s="35">
        <f>ROUND(F15*$B$4/100*J16/365,2)</f>
        <v/>
      </c>
      <c r="E16" s="36">
        <f>C16-D16</f>
        <v/>
      </c>
      <c r="F16" s="34">
        <f>F15-E16</f>
        <v/>
      </c>
      <c r="G16" s="37">
        <f>ROUND(($B$3+$E$5)/$E$3,2)</f>
        <v/>
      </c>
      <c r="H16" s="37">
        <f>H15-G16</f>
        <v/>
      </c>
      <c r="I16" s="39">
        <f>B16-B15</f>
        <v/>
      </c>
      <c r="J16" s="39">
        <f>B16-B15</f>
        <v/>
      </c>
    </row>
    <row r="17" ht="15" customHeight="1" s="22">
      <c r="A17" s="24" t="n">
        <v>8</v>
      </c>
      <c r="B17" s="33">
        <f>EOMONTH($E$5,8)</f>
        <v/>
      </c>
      <c r="C17" s="34">
        <f>IF(8=$B$5,F16+D17,$H$4)</f>
        <v/>
      </c>
      <c r="D17" s="35">
        <f>ROUND(F16*$B$4/100*J17/365,2)</f>
        <v/>
      </c>
      <c r="E17" s="36">
        <f>C17-D17</f>
        <v/>
      </c>
      <c r="F17" s="34">
        <f>F16-E17</f>
        <v/>
      </c>
      <c r="G17" s="37">
        <f>ROUND(($B$3+$E$5)/$E$3,2)</f>
        <v/>
      </c>
      <c r="H17" s="37">
        <f>H16-G17</f>
        <v/>
      </c>
      <c r="I17" s="39">
        <f>B17-B16</f>
        <v/>
      </c>
      <c r="J17" s="39">
        <f>B17-B16</f>
        <v/>
      </c>
    </row>
    <row r="18" ht="15" customHeight="1" s="22">
      <c r="A18" s="24" t="n">
        <v>9</v>
      </c>
      <c r="B18" s="33">
        <f>EOMONTH($E$5,9)</f>
        <v/>
      </c>
      <c r="C18" s="34">
        <f>IF(9=$B$5,F17+D18,$H$4)</f>
        <v/>
      </c>
      <c r="D18" s="35">
        <f>ROUND(F17*$B$4/100*J18/365,2)</f>
        <v/>
      </c>
      <c r="E18" s="36">
        <f>C18-D18</f>
        <v/>
      </c>
      <c r="F18" s="34">
        <f>F17-E18</f>
        <v/>
      </c>
      <c r="G18" s="37">
        <f>ROUND(($B$3+$E$5)/$E$3,2)</f>
        <v/>
      </c>
      <c r="H18" s="37">
        <f>H17-G18</f>
        <v/>
      </c>
      <c r="I18" s="39">
        <f>B18-B17</f>
        <v/>
      </c>
      <c r="J18" s="39">
        <f>B18-B17</f>
        <v/>
      </c>
    </row>
    <row r="19" ht="15" customHeight="1" s="22">
      <c r="A19" s="24" t="n">
        <v>10</v>
      </c>
      <c r="B19" s="33">
        <f>EOMONTH($E$5,10)</f>
        <v/>
      </c>
      <c r="C19" s="34">
        <f>IF(10=$B$5,F18+D19,$H$4)</f>
        <v/>
      </c>
      <c r="D19" s="35">
        <f>ROUND(F18*$B$4/100*J19/365,2)</f>
        <v/>
      </c>
      <c r="E19" s="36">
        <f>C19-D19</f>
        <v/>
      </c>
      <c r="F19" s="34">
        <f>F18-E19</f>
        <v/>
      </c>
      <c r="G19" s="37">
        <f>ROUND(($B$3+$E$5)/$E$3,2)</f>
        <v/>
      </c>
      <c r="H19" s="37">
        <f>H18-G19</f>
        <v/>
      </c>
      <c r="I19" s="39">
        <f>B19-B18</f>
        <v/>
      </c>
      <c r="J19" s="39">
        <f>B19-B18</f>
        <v/>
      </c>
    </row>
    <row r="20" ht="15" customHeight="1" s="22">
      <c r="A20" s="24" t="n">
        <v>11</v>
      </c>
      <c r="B20" s="33">
        <f>EOMONTH($E$5,11)</f>
        <v/>
      </c>
      <c r="C20" s="34">
        <f>IF(11=$B$5,F19+D20,$H$4)</f>
        <v/>
      </c>
      <c r="D20" s="35">
        <f>ROUND(F19*$B$4/100*J20/365,2)</f>
        <v/>
      </c>
      <c r="E20" s="36">
        <f>C20-D20</f>
        <v/>
      </c>
      <c r="F20" s="34">
        <f>F19-E20</f>
        <v/>
      </c>
      <c r="G20" s="37">
        <f>ROUND(($B$3+$E$5)/$E$3,2)</f>
        <v/>
      </c>
      <c r="H20" s="37">
        <f>H19-G20</f>
        <v/>
      </c>
      <c r="I20" s="39">
        <f>B20-B19</f>
        <v/>
      </c>
      <c r="J20" s="39">
        <f>B20-B19</f>
        <v/>
      </c>
    </row>
    <row r="21" ht="15" customHeight="1" s="22">
      <c r="A21" s="24" t="n">
        <v>12</v>
      </c>
      <c r="B21" s="33">
        <f>EOMONTH($E$5,12)</f>
        <v/>
      </c>
      <c r="C21" s="34">
        <f>IF(12=$B$5,F20+D21,$H$4)</f>
        <v/>
      </c>
      <c r="D21" s="35">
        <f>ROUND(F20*$B$4/100*J21/365,2)</f>
        <v/>
      </c>
      <c r="E21" s="36">
        <f>C21-D21</f>
        <v/>
      </c>
      <c r="F21" s="34">
        <f>F20-E21</f>
        <v/>
      </c>
      <c r="G21" s="37">
        <f>ROUND(($B$3+$E$5)/$E$3,2)</f>
        <v/>
      </c>
      <c r="H21" s="37">
        <f>H20-G21</f>
        <v/>
      </c>
      <c r="I21" s="39">
        <f>B21-B20</f>
        <v/>
      </c>
      <c r="J21" s="39">
        <f>B21-B20</f>
        <v/>
      </c>
    </row>
    <row r="22" ht="15" customHeight="1" s="22">
      <c r="A22" s="24" t="n">
        <v>13</v>
      </c>
      <c r="B22" s="33">
        <f>EOMONTH($E$5,13)</f>
        <v/>
      </c>
      <c r="C22" s="34">
        <f>IF(13=$B$5,F21+D22,$H$4)</f>
        <v/>
      </c>
      <c r="D22" s="35">
        <f>ROUND(F21*$B$4/100*J22/365,2)</f>
        <v/>
      </c>
      <c r="E22" s="36">
        <f>C22-D22</f>
        <v/>
      </c>
      <c r="F22" s="34">
        <f>F21-E22</f>
        <v/>
      </c>
      <c r="G22" s="37">
        <f>ROUND(($B$3+$E$5)/$E$3,2)</f>
        <v/>
      </c>
      <c r="H22" s="37">
        <f>H21-G22</f>
        <v/>
      </c>
      <c r="I22" s="39">
        <f>B22-B21</f>
        <v/>
      </c>
      <c r="J22" s="39">
        <f>B22-B21</f>
        <v/>
      </c>
    </row>
    <row r="23" ht="15" customHeight="1" s="22">
      <c r="A23" s="24" t="n">
        <v>14</v>
      </c>
      <c r="B23" s="33">
        <f>EOMONTH($E$5,14)</f>
        <v/>
      </c>
      <c r="C23" s="34">
        <f>IF(14=$B$5,F22+D23,$H$4)</f>
        <v/>
      </c>
      <c r="D23" s="35">
        <f>ROUND(F22*$B$4/100*J23/365,2)</f>
        <v/>
      </c>
      <c r="E23" s="36">
        <f>C23-D23</f>
        <v/>
      </c>
      <c r="F23" s="34">
        <f>F22-E23</f>
        <v/>
      </c>
      <c r="G23" s="37">
        <f>ROUND(($B$3+$E$5)/$E$3,2)</f>
        <v/>
      </c>
      <c r="H23" s="37">
        <f>H22-G23</f>
        <v/>
      </c>
      <c r="I23" s="39">
        <f>B23-B22</f>
        <v/>
      </c>
      <c r="J23" s="39">
        <f>B23-B22</f>
        <v/>
      </c>
    </row>
    <row r="24" ht="15" customHeight="1" s="22">
      <c r="A24" s="24" t="n">
        <v>15</v>
      </c>
      <c r="B24" s="33">
        <f>EOMONTH($E$5,15)</f>
        <v/>
      </c>
      <c r="C24" s="34">
        <f>IF(15=$B$5,F23+D24,$H$4)</f>
        <v/>
      </c>
      <c r="D24" s="35">
        <f>ROUND(F23*$B$4/100*J24/365,2)</f>
        <v/>
      </c>
      <c r="E24" s="36">
        <f>C24-D24</f>
        <v/>
      </c>
      <c r="F24" s="34">
        <f>F23-E24</f>
        <v/>
      </c>
      <c r="G24" s="37">
        <f>ROUND(($B$3+$E$5)/$E$3,2)</f>
        <v/>
      </c>
      <c r="H24" s="37">
        <f>H23-G24</f>
        <v/>
      </c>
      <c r="I24" s="39">
        <f>B24-B23</f>
        <v/>
      </c>
      <c r="J24" s="39">
        <f>B24-B23</f>
        <v/>
      </c>
    </row>
    <row r="25" ht="15" customHeight="1" s="22">
      <c r="A25" s="24" t="n">
        <v>16</v>
      </c>
      <c r="B25" s="33">
        <f>EOMONTH($E$5,16)</f>
        <v/>
      </c>
      <c r="C25" s="34">
        <f>IF(16=$B$5,F24+D25,$H$4)</f>
        <v/>
      </c>
      <c r="D25" s="35">
        <f>ROUND(F24*$B$4/100*J25/365,2)</f>
        <v/>
      </c>
      <c r="E25" s="36">
        <f>C25-D25</f>
        <v/>
      </c>
      <c r="F25" s="34">
        <f>F24-E25</f>
        <v/>
      </c>
      <c r="G25" s="37">
        <f>ROUND(($B$3+$E$5)/$E$3,2)</f>
        <v/>
      </c>
      <c r="H25" s="37">
        <f>H24-G25</f>
        <v/>
      </c>
      <c r="I25" s="39">
        <f>B25-B24</f>
        <v/>
      </c>
      <c r="J25" s="39">
        <f>B25-B24</f>
        <v/>
      </c>
    </row>
    <row r="26" ht="15" customHeight="1" s="22">
      <c r="A26" s="24" t="n">
        <v>17</v>
      </c>
      <c r="B26" s="33">
        <f>EOMONTH($E$5,17)</f>
        <v/>
      </c>
      <c r="C26" s="34">
        <f>IF(17=$B$5,F25+D26,$H$4)</f>
        <v/>
      </c>
      <c r="D26" s="35">
        <f>ROUND(F25*$B$4/100*J26/365,2)</f>
        <v/>
      </c>
      <c r="E26" s="36">
        <f>C26-D26</f>
        <v/>
      </c>
      <c r="F26" s="34">
        <f>F25-E26</f>
        <v/>
      </c>
      <c r="G26" s="37">
        <f>ROUND(($B$3+$E$5)/$E$3,2)</f>
        <v/>
      </c>
      <c r="H26" s="37">
        <f>H25-G26</f>
        <v/>
      </c>
      <c r="I26" s="39">
        <f>B26-B25</f>
        <v/>
      </c>
      <c r="J26" s="39">
        <f>B26-B25</f>
        <v/>
      </c>
    </row>
    <row r="27" ht="15" customHeight="1" s="22">
      <c r="A27" s="24" t="n">
        <v>18</v>
      </c>
      <c r="B27" s="33">
        <f>EOMONTH($E$5,18)</f>
        <v/>
      </c>
      <c r="C27" s="34">
        <f>IF(18=$B$5,F26+D27,$H$4)</f>
        <v/>
      </c>
      <c r="D27" s="35">
        <f>ROUND(F26*$B$4/100*J27/365,2)</f>
        <v/>
      </c>
      <c r="E27" s="36">
        <f>C27-D27</f>
        <v/>
      </c>
      <c r="F27" s="34">
        <f>F26-E27</f>
        <v/>
      </c>
      <c r="G27" s="37">
        <f>ROUND(($B$3+$E$5)/$E$3,2)</f>
        <v/>
      </c>
      <c r="H27" s="37">
        <f>H26-G27</f>
        <v/>
      </c>
      <c r="I27" s="39">
        <f>B27-B26</f>
        <v/>
      </c>
      <c r="J27" s="39">
        <f>B27-B26</f>
        <v/>
      </c>
    </row>
    <row r="28" ht="15" customHeight="1" s="22">
      <c r="A28" s="24" t="n">
        <v>19</v>
      </c>
      <c r="B28" s="33">
        <f>EOMONTH($E$5,19)</f>
        <v/>
      </c>
      <c r="C28" s="34">
        <f>IF(19=$B$5,F27+D28,$H$4)</f>
        <v/>
      </c>
      <c r="D28" s="35">
        <f>ROUND(F27*$B$4/100*J28/365,2)</f>
        <v/>
      </c>
      <c r="E28" s="36">
        <f>C28-D28</f>
        <v/>
      </c>
      <c r="F28" s="34">
        <f>F27-E28</f>
        <v/>
      </c>
      <c r="G28" s="37">
        <f>ROUND(($B$3+$E$5)/$E$3,2)</f>
        <v/>
      </c>
      <c r="H28" s="37">
        <f>H27-G28</f>
        <v/>
      </c>
      <c r="I28" s="39">
        <f>B28-B27</f>
        <v/>
      </c>
      <c r="J28" s="39">
        <f>B28-B27</f>
        <v/>
      </c>
    </row>
    <row r="29" ht="15" customHeight="1" s="22">
      <c r="A29" s="24" t="n">
        <v>20</v>
      </c>
      <c r="B29" s="33">
        <f>EOMONTH($E$5,20)</f>
        <v/>
      </c>
      <c r="C29" s="34">
        <f>IF(20=$B$5,F28+D29,$H$4)</f>
        <v/>
      </c>
      <c r="D29" s="35">
        <f>ROUND(F28*$B$4/100*J29/365,2)</f>
        <v/>
      </c>
      <c r="E29" s="36">
        <f>C29-D29</f>
        <v/>
      </c>
      <c r="F29" s="34">
        <f>F28-E29</f>
        <v/>
      </c>
      <c r="G29" s="37">
        <f>ROUND(($B$3+$E$5)/$E$3,2)</f>
        <v/>
      </c>
      <c r="H29" s="37">
        <f>H28-G29</f>
        <v/>
      </c>
      <c r="I29" s="39">
        <f>B29-B28</f>
        <v/>
      </c>
      <c r="J29" s="39">
        <f>B29-B28</f>
        <v/>
      </c>
    </row>
    <row r="30" ht="15" customHeight="1" s="22">
      <c r="A30" s="24" t="n">
        <v>21</v>
      </c>
      <c r="B30" s="33">
        <f>EOMONTH($E$5,21)</f>
        <v/>
      </c>
      <c r="C30" s="34">
        <f>IF(21=$B$5,F29+D30,$H$4)</f>
        <v/>
      </c>
      <c r="D30" s="35">
        <f>ROUND(F29*$B$4/100*J30/365,2)</f>
        <v/>
      </c>
      <c r="E30" s="36">
        <f>C30-D30</f>
        <v/>
      </c>
      <c r="F30" s="34">
        <f>F29-E30</f>
        <v/>
      </c>
      <c r="G30" s="37">
        <f>ROUND(($B$3+$E$5)/$E$3,2)</f>
        <v/>
      </c>
      <c r="H30" s="37">
        <f>H29-G30</f>
        <v/>
      </c>
      <c r="I30" s="39">
        <f>B30-B29</f>
        <v/>
      </c>
      <c r="J30" s="39">
        <f>B30-B29</f>
        <v/>
      </c>
    </row>
    <row r="31" ht="15" customHeight="1" s="22">
      <c r="A31" s="24" t="n">
        <v>22</v>
      </c>
      <c r="B31" s="33">
        <f>EOMONTH($E$5,22)</f>
        <v/>
      </c>
      <c r="C31" s="34">
        <f>IF(22=$B$5,F30+D31,$H$4)</f>
        <v/>
      </c>
      <c r="D31" s="35">
        <f>ROUND(F30*$B$4/100*J31/365,2)</f>
        <v/>
      </c>
      <c r="E31" s="36">
        <f>C31-D31</f>
        <v/>
      </c>
      <c r="F31" s="34">
        <f>F30-E31</f>
        <v/>
      </c>
      <c r="G31" s="37">
        <f>ROUND(($B$3+$E$5)/$E$3,2)</f>
        <v/>
      </c>
      <c r="H31" s="37">
        <f>H30-G31</f>
        <v/>
      </c>
      <c r="I31" s="39">
        <f>B31-B30</f>
        <v/>
      </c>
      <c r="J31" s="39">
        <f>B31-B30</f>
        <v/>
      </c>
    </row>
    <row r="32" ht="15" customHeight="1" s="22">
      <c r="A32" s="24" t="n">
        <v>23</v>
      </c>
      <c r="B32" s="33">
        <f>EOMONTH($E$5,23)</f>
        <v/>
      </c>
      <c r="C32" s="34">
        <f>IF(23=$B$5,F31+D32,$H$4)</f>
        <v/>
      </c>
      <c r="D32" s="35">
        <f>ROUND(F31*$B$4/100*J32/365,2)</f>
        <v/>
      </c>
      <c r="E32" s="36">
        <f>C32-D32</f>
        <v/>
      </c>
      <c r="F32" s="34">
        <f>F31-E32</f>
        <v/>
      </c>
      <c r="G32" s="37">
        <f>ROUND(($B$3+$E$5)/$E$3,2)</f>
        <v/>
      </c>
      <c r="H32" s="37">
        <f>H31-G32</f>
        <v/>
      </c>
      <c r="I32" s="39">
        <f>B32-B31</f>
        <v/>
      </c>
      <c r="J32" s="39">
        <f>B32-B31</f>
        <v/>
      </c>
    </row>
    <row r="33" ht="15" customHeight="1" s="22">
      <c r="A33" s="24" t="n">
        <v>24</v>
      </c>
      <c r="B33" s="33">
        <f>EOMONTH($E$5,24)</f>
        <v/>
      </c>
      <c r="C33" s="34">
        <f>IF(24=$B$5,F32+D33,$H$4)</f>
        <v/>
      </c>
      <c r="D33" s="35">
        <f>ROUND(F32*$B$4/100*J33/365,2)</f>
        <v/>
      </c>
      <c r="E33" s="36">
        <f>C33-D33</f>
        <v/>
      </c>
      <c r="F33" s="34">
        <f>F32-E33</f>
        <v/>
      </c>
      <c r="G33" s="37">
        <f>ROUND(($B$3+$E$5)/$E$3,2)</f>
        <v/>
      </c>
      <c r="H33" s="37">
        <f>H32-G33</f>
        <v/>
      </c>
      <c r="I33" s="39">
        <f>B33-B32</f>
        <v/>
      </c>
      <c r="J33" s="39">
        <f>B33-B32</f>
        <v/>
      </c>
    </row>
    <row r="34" ht="15" customHeight="1" s="22">
      <c r="A34" s="24" t="n">
        <v>25</v>
      </c>
      <c r="B34" s="33">
        <f>EOMONTH($E$5,25)</f>
        <v/>
      </c>
      <c r="C34" s="34">
        <f>IF(25=$B$5,F33+D34,$H$4)</f>
        <v/>
      </c>
      <c r="D34" s="35">
        <f>ROUND(F33*$B$4/100*J34/365,2)</f>
        <v/>
      </c>
      <c r="E34" s="36">
        <f>C34-D34</f>
        <v/>
      </c>
      <c r="F34" s="34">
        <f>F33-E34</f>
        <v/>
      </c>
      <c r="G34" s="37">
        <f>ROUND(($B$3+$E$5)/$E$3,2)</f>
        <v/>
      </c>
      <c r="H34" s="37">
        <f>H33-G34</f>
        <v/>
      </c>
      <c r="I34" s="39">
        <f>B34-B33</f>
        <v/>
      </c>
      <c r="J34" s="39">
        <f>B34-B33</f>
        <v/>
      </c>
    </row>
    <row r="35" ht="15" customHeight="1" s="22">
      <c r="A35" s="24" t="n">
        <v>26</v>
      </c>
      <c r="B35" s="33">
        <f>EOMONTH($E$5,26)</f>
        <v/>
      </c>
      <c r="C35" s="34">
        <f>IF(26=$B$5,F34+D35,$H$4)</f>
        <v/>
      </c>
      <c r="D35" s="35">
        <f>ROUND(F34*$B$4/100*J35/365,2)</f>
        <v/>
      </c>
      <c r="E35" s="36">
        <f>C35-D35</f>
        <v/>
      </c>
      <c r="F35" s="34">
        <f>F34-E35</f>
        <v/>
      </c>
      <c r="G35" s="37">
        <f>ROUND(($B$3+$E$5)/$E$3,2)</f>
        <v/>
      </c>
      <c r="H35" s="37">
        <f>H34-G35</f>
        <v/>
      </c>
      <c r="I35" s="39">
        <f>B35-B34</f>
        <v/>
      </c>
      <c r="J35" s="39">
        <f>B35-B34</f>
        <v/>
      </c>
    </row>
    <row r="36" ht="15" customHeight="1" s="22">
      <c r="A36" s="24" t="n">
        <v>27</v>
      </c>
      <c r="B36" s="33">
        <f>EOMONTH($E$5,27)</f>
        <v/>
      </c>
      <c r="C36" s="34">
        <f>IF(27=$B$5,F35+D36,$H$4)</f>
        <v/>
      </c>
      <c r="D36" s="35">
        <f>ROUND(F35*$B$4/100*J36/365,2)</f>
        <v/>
      </c>
      <c r="E36" s="36">
        <f>C36-D36</f>
        <v/>
      </c>
      <c r="F36" s="34">
        <f>F35-E36</f>
        <v/>
      </c>
      <c r="G36" s="37">
        <f>ROUND(($B$3+$E$5)/$E$3,2)</f>
        <v/>
      </c>
      <c r="H36" s="37">
        <f>H35-G36</f>
        <v/>
      </c>
      <c r="I36" s="39">
        <f>B36-B35</f>
        <v/>
      </c>
      <c r="J36" s="39">
        <f>B36-B35</f>
        <v/>
      </c>
    </row>
    <row r="37" ht="15" customHeight="1" s="22">
      <c r="A37" s="24" t="n">
        <v>28</v>
      </c>
      <c r="B37" s="33">
        <f>EOMONTH($E$5,28)</f>
        <v/>
      </c>
      <c r="C37" s="34">
        <f>IF(28=$B$5,F36+D37,$H$4)</f>
        <v/>
      </c>
      <c r="D37" s="35">
        <f>ROUND(F36*$B$4/100*J37/365,2)</f>
        <v/>
      </c>
      <c r="E37" s="36">
        <f>C37-D37</f>
        <v/>
      </c>
      <c r="F37" s="34">
        <f>F36-E37</f>
        <v/>
      </c>
      <c r="G37" s="37">
        <f>ROUND(($B$3+$E$5)/$E$3,2)</f>
        <v/>
      </c>
      <c r="H37" s="37">
        <f>H36-G37</f>
        <v/>
      </c>
      <c r="I37" s="39">
        <f>B37-B36</f>
        <v/>
      </c>
      <c r="J37" s="39">
        <f>B37-B36</f>
        <v/>
      </c>
    </row>
    <row r="38" ht="15" customHeight="1" s="22">
      <c r="A38" s="24" t="n">
        <v>29</v>
      </c>
      <c r="B38" s="33">
        <f>EOMONTH($E$5,29)</f>
        <v/>
      </c>
      <c r="C38" s="34">
        <f>IF(29=$B$5,F37+D38,$H$4)</f>
        <v/>
      </c>
      <c r="D38" s="35">
        <f>ROUND(F37*$B$4/100*J38/365,2)</f>
        <v/>
      </c>
      <c r="E38" s="36">
        <f>C38-D38</f>
        <v/>
      </c>
      <c r="F38" s="34">
        <f>F37-E38</f>
        <v/>
      </c>
      <c r="G38" s="37">
        <f>ROUND(($B$3+$E$5)/$E$3,2)</f>
        <v/>
      </c>
      <c r="H38" s="37">
        <f>H37-G38</f>
        <v/>
      </c>
      <c r="I38" s="39">
        <f>B38-B37</f>
        <v/>
      </c>
      <c r="J38" s="39">
        <f>B38-B37</f>
        <v/>
      </c>
    </row>
    <row r="39" ht="15" customHeight="1" s="22">
      <c r="A39" s="24" t="n">
        <v>30</v>
      </c>
      <c r="B39" s="33">
        <f>EOMONTH($E$5,30)</f>
        <v/>
      </c>
      <c r="C39" s="34">
        <f>IF(30=$B$5,F38+D39,$H$4)</f>
        <v/>
      </c>
      <c r="D39" s="35">
        <f>ROUND(F38*$B$4/100*J39/365,2)</f>
        <v/>
      </c>
      <c r="E39" s="36">
        <f>C39-D39</f>
        <v/>
      </c>
      <c r="F39" s="34">
        <f>F38-E39</f>
        <v/>
      </c>
      <c r="G39" s="37">
        <f>ROUND(($B$3+$E$5)/$E$3,2)</f>
        <v/>
      </c>
      <c r="H39" s="37">
        <f>H38-G39</f>
        <v/>
      </c>
      <c r="I39" s="39">
        <f>B39-B38</f>
        <v/>
      </c>
      <c r="J39" s="39">
        <f>B39-B38</f>
        <v/>
      </c>
    </row>
    <row r="40" ht="15" customHeight="1" s="22">
      <c r="A40" s="24" t="n">
        <v>31</v>
      </c>
      <c r="B40" s="33">
        <f>EOMONTH($E$5,31)</f>
        <v/>
      </c>
      <c r="C40" s="34">
        <f>IF(31=$B$5,F39+D40,$H$4)</f>
        <v/>
      </c>
      <c r="D40" s="35">
        <f>ROUND(F39*$B$4/100*J40/365,2)</f>
        <v/>
      </c>
      <c r="E40" s="36">
        <f>C40-D40</f>
        <v/>
      </c>
      <c r="F40" s="34">
        <f>F39-E40</f>
        <v/>
      </c>
      <c r="G40" s="37">
        <f>ROUND(($B$3+$E$5)/$E$3,2)</f>
        <v/>
      </c>
      <c r="H40" s="37">
        <f>H39-G40</f>
        <v/>
      </c>
      <c r="I40" s="39">
        <f>B40-B39</f>
        <v/>
      </c>
      <c r="J40" s="39">
        <f>B40-B39</f>
        <v/>
      </c>
    </row>
    <row r="41" ht="15" customHeight="1" s="22">
      <c r="A41" s="24" t="n">
        <v>32</v>
      </c>
      <c r="B41" s="33">
        <f>EOMONTH($E$5,32)</f>
        <v/>
      </c>
      <c r="C41" s="34">
        <f>IF(32=$B$5,F40+D41,$H$4)</f>
        <v/>
      </c>
      <c r="D41" s="35">
        <f>ROUND(F40*$B$4/100*J41/365,2)</f>
        <v/>
      </c>
      <c r="E41" s="36">
        <f>C41-D41</f>
        <v/>
      </c>
      <c r="F41" s="34">
        <f>F40-E41</f>
        <v/>
      </c>
      <c r="G41" s="37">
        <f>ROUND(($B$3+$E$5)/$E$3,2)</f>
        <v/>
      </c>
      <c r="H41" s="37">
        <f>H40-G41</f>
        <v/>
      </c>
      <c r="I41" s="39">
        <f>B41-B40</f>
        <v/>
      </c>
      <c r="J41" s="39">
        <f>B41-B40</f>
        <v/>
      </c>
    </row>
    <row r="42" ht="15" customHeight="1" s="22">
      <c r="A42" s="24" t="n">
        <v>33</v>
      </c>
      <c r="B42" s="33">
        <f>EOMONTH($E$5,33)</f>
        <v/>
      </c>
      <c r="C42" s="34">
        <f>IF(33=$B$5,F41+D42,$H$4)</f>
        <v/>
      </c>
      <c r="D42" s="35">
        <f>ROUND(F41*$B$4/100*J42/365,2)</f>
        <v/>
      </c>
      <c r="E42" s="36">
        <f>C42-D42</f>
        <v/>
      </c>
      <c r="F42" s="34">
        <f>F41-E42</f>
        <v/>
      </c>
      <c r="G42" s="37">
        <f>ROUND(($B$3+$E$5)/$E$3,2)</f>
        <v/>
      </c>
      <c r="H42" s="37">
        <f>H41-G42</f>
        <v/>
      </c>
      <c r="I42" s="39">
        <f>B42-B41</f>
        <v/>
      </c>
      <c r="J42" s="39">
        <f>B42-B41</f>
        <v/>
      </c>
    </row>
    <row r="43" ht="15" customHeight="1" s="22">
      <c r="A43" s="24" t="n">
        <v>34</v>
      </c>
      <c r="B43" s="33">
        <f>EOMONTH($E$5,34)</f>
        <v/>
      </c>
      <c r="C43" s="34">
        <f>IF(34=$B$5,F42+D43,$H$4)</f>
        <v/>
      </c>
      <c r="D43" s="35">
        <f>ROUND(F42*$B$4/100*J43/365,2)</f>
        <v/>
      </c>
      <c r="E43" s="36">
        <f>C43-D43</f>
        <v/>
      </c>
      <c r="F43" s="34">
        <f>F42-E43</f>
        <v/>
      </c>
      <c r="G43" s="37">
        <f>ROUND(($B$3+$E$5)/$E$3,2)</f>
        <v/>
      </c>
      <c r="H43" s="37">
        <f>H42-G43</f>
        <v/>
      </c>
      <c r="I43" s="39">
        <f>B43-B42</f>
        <v/>
      </c>
      <c r="J43" s="39">
        <f>B43-B42</f>
        <v/>
      </c>
    </row>
    <row r="44" ht="15" customHeight="1" s="22">
      <c r="A44" s="24" t="n">
        <v>35</v>
      </c>
      <c r="B44" s="33">
        <f>EOMONTH($E$5,35)</f>
        <v/>
      </c>
      <c r="C44" s="34">
        <f>IF(35=$B$5,F43+D44,$H$4)</f>
        <v/>
      </c>
      <c r="D44" s="35">
        <f>ROUND(F43*$B$4/100*J44/365,2)</f>
        <v/>
      </c>
      <c r="E44" s="36">
        <f>C44-D44</f>
        <v/>
      </c>
      <c r="F44" s="34">
        <f>F43-E44</f>
        <v/>
      </c>
      <c r="G44" s="37">
        <f>ROUND(($B$3+$E$5)/$E$3,2)</f>
        <v/>
      </c>
      <c r="H44" s="37">
        <f>H43-G44</f>
        <v/>
      </c>
      <c r="I44" s="39">
        <f>B44-B43</f>
        <v/>
      </c>
      <c r="J44" s="39">
        <f>B44-B43</f>
        <v/>
      </c>
    </row>
    <row r="45" ht="15" customHeight="1" s="22">
      <c r="A45" s="24" t="n">
        <v>36</v>
      </c>
      <c r="B45" s="33">
        <f>EOMONTH($E$5,36)</f>
        <v/>
      </c>
      <c r="C45" s="34">
        <f>IF(36=$B$5,F44+D45,$H$4)</f>
        <v/>
      </c>
      <c r="D45" s="35">
        <f>ROUND(F44*$B$4/100*J45/365,2)</f>
        <v/>
      </c>
      <c r="E45" s="36">
        <f>C45-D45</f>
        <v/>
      </c>
      <c r="F45" s="34">
        <f>F44-E45</f>
        <v/>
      </c>
      <c r="G45" s="37">
        <f>ROUND(($B$3+$E$5)/$E$3,2)</f>
        <v/>
      </c>
      <c r="H45" s="37">
        <f>H44-G45</f>
        <v/>
      </c>
      <c r="I45" s="39">
        <f>B45-B44</f>
        <v/>
      </c>
      <c r="J45" s="39">
        <f>B45-B44</f>
        <v/>
      </c>
    </row>
    <row r="46" ht="15" customHeight="1" s="22">
      <c r="A46" s="24" t="n">
        <v>37</v>
      </c>
      <c r="B46" s="33">
        <f>EOMONTH($E$5,37)</f>
        <v/>
      </c>
      <c r="C46" s="34">
        <f>IF(37=$B$5,F45+D46,$H$4)</f>
        <v/>
      </c>
      <c r="D46" s="35">
        <f>ROUND(F45*$B$4/100*J46/365,2)</f>
        <v/>
      </c>
      <c r="E46" s="36">
        <f>C46-D46</f>
        <v/>
      </c>
      <c r="F46" s="34">
        <f>F45-E46</f>
        <v/>
      </c>
      <c r="G46" s="37">
        <f>ROUND(($B$3+$E$5)/$E$3,2)</f>
        <v/>
      </c>
      <c r="H46" s="37">
        <f>H45-G46</f>
        <v/>
      </c>
      <c r="I46" s="39">
        <f>B46-B45</f>
        <v/>
      </c>
      <c r="J46" s="39">
        <f>B46-B45</f>
        <v/>
      </c>
    </row>
    <row r="47" ht="15" customHeight="1" s="22">
      <c r="A47" s="24" t="n">
        <v>38</v>
      </c>
      <c r="B47" s="33">
        <f>EOMONTH($E$5,38)</f>
        <v/>
      </c>
      <c r="C47" s="34">
        <f>IF(38=$B$5,F46+D47,$H$4)</f>
        <v/>
      </c>
      <c r="D47" s="35">
        <f>ROUND(F46*$B$4/100*J47/365,2)</f>
        <v/>
      </c>
      <c r="E47" s="36">
        <f>C47-D47</f>
        <v/>
      </c>
      <c r="F47" s="34">
        <f>F46-E47</f>
        <v/>
      </c>
      <c r="G47" s="37">
        <f>ROUND(($B$3+$E$5)/$E$3,2)</f>
        <v/>
      </c>
      <c r="H47" s="37">
        <f>H46-G47</f>
        <v/>
      </c>
      <c r="I47" s="39">
        <f>B47-B46</f>
        <v/>
      </c>
      <c r="J47" s="39">
        <f>B47-B46</f>
        <v/>
      </c>
    </row>
    <row r="48" ht="15" customHeight="1" s="22">
      <c r="A48" s="24" t="n">
        <v>39</v>
      </c>
      <c r="B48" s="33">
        <f>EOMONTH($E$5,39)</f>
        <v/>
      </c>
      <c r="C48" s="34">
        <f>IF(39=$B$5,F47+D48,$H$4)</f>
        <v/>
      </c>
      <c r="D48" s="35">
        <f>ROUND(F47*$B$4/100*J48/365,2)</f>
        <v/>
      </c>
      <c r="E48" s="36">
        <f>C48-D48</f>
        <v/>
      </c>
      <c r="F48" s="34">
        <f>F47-E48</f>
        <v/>
      </c>
      <c r="G48" s="37">
        <f>ROUND(($B$3+$E$5)/$E$3,2)</f>
        <v/>
      </c>
      <c r="H48" s="37">
        <f>H47-G48</f>
        <v/>
      </c>
      <c r="I48" s="39">
        <f>B48-B47</f>
        <v/>
      </c>
      <c r="J48" s="39">
        <f>B48-B47</f>
        <v/>
      </c>
    </row>
    <row r="49" ht="15" customHeight="1" s="22">
      <c r="A49" s="24" t="n">
        <v>40</v>
      </c>
      <c r="B49" s="33">
        <f>EOMONTH($E$5,40)</f>
        <v/>
      </c>
      <c r="C49" s="34">
        <f>IF(40=$B$5,F48+D49,$H$4)</f>
        <v/>
      </c>
      <c r="D49" s="35">
        <f>ROUND(F48*$B$4/100*J49/365,2)</f>
        <v/>
      </c>
      <c r="E49" s="36">
        <f>C49-D49</f>
        <v/>
      </c>
      <c r="F49" s="34">
        <f>F48-E49</f>
        <v/>
      </c>
      <c r="G49" s="37">
        <f>ROUND(($B$3+$E$5)/$E$3,2)</f>
        <v/>
      </c>
      <c r="H49" s="37">
        <f>H48-G49</f>
        <v/>
      </c>
      <c r="I49" s="39">
        <f>B49-B48</f>
        <v/>
      </c>
      <c r="J49" s="39">
        <f>B49-B48</f>
        <v/>
      </c>
    </row>
    <row r="50" ht="15" customHeight="1" s="22">
      <c r="A50" s="24" t="n">
        <v>41</v>
      </c>
      <c r="B50" s="33">
        <f>EOMONTH($E$5,41)</f>
        <v/>
      </c>
      <c r="C50" s="34">
        <f>IF(41=$B$5,F49+D50,$H$4)</f>
        <v/>
      </c>
      <c r="D50" s="35">
        <f>ROUND(F49*$B$4/100*J50/365,2)</f>
        <v/>
      </c>
      <c r="E50" s="36">
        <f>C50-D50</f>
        <v/>
      </c>
      <c r="F50" s="34">
        <f>F49-E50</f>
        <v/>
      </c>
      <c r="G50" s="37">
        <f>ROUND(($B$3+$E$5)/$E$3,2)</f>
        <v/>
      </c>
      <c r="H50" s="37">
        <f>H49-G50</f>
        <v/>
      </c>
      <c r="I50" s="39">
        <f>B50-B49</f>
        <v/>
      </c>
      <c r="J50" s="39">
        <f>B50-B49</f>
        <v/>
      </c>
    </row>
    <row r="51" ht="15" customHeight="1" s="22">
      <c r="A51" s="24" t="n">
        <v>42</v>
      </c>
      <c r="B51" s="33">
        <f>EOMONTH($E$5,42)</f>
        <v/>
      </c>
      <c r="C51" s="34">
        <f>IF(42=$B$5,F50+D51,$H$4)</f>
        <v/>
      </c>
      <c r="D51" s="35">
        <f>ROUND(F50*$B$4/100*J51/365,2)</f>
        <v/>
      </c>
      <c r="E51" s="36">
        <f>C51-D51</f>
        <v/>
      </c>
      <c r="F51" s="34">
        <f>F50-E51</f>
        <v/>
      </c>
      <c r="G51" s="37">
        <f>ROUND(($B$3+$E$5)/$E$3,2)</f>
        <v/>
      </c>
      <c r="H51" s="37">
        <f>H50-G51</f>
        <v/>
      </c>
      <c r="I51" s="39">
        <f>B51-B50</f>
        <v/>
      </c>
      <c r="J51" s="39">
        <f>B51-B50</f>
        <v/>
      </c>
    </row>
    <row r="52" ht="15" customHeight="1" s="22">
      <c r="A52" s="24" t="n">
        <v>43</v>
      </c>
      <c r="B52" s="33">
        <f>EOMONTH($E$5,43)</f>
        <v/>
      </c>
      <c r="C52" s="34">
        <f>IF(43=$B$5,F51+D52,$H$4)</f>
        <v/>
      </c>
      <c r="D52" s="35">
        <f>ROUND(F51*$B$4/100*J52/365,2)</f>
        <v/>
      </c>
      <c r="E52" s="36">
        <f>C52-D52</f>
        <v/>
      </c>
      <c r="F52" s="34">
        <f>F51-E52</f>
        <v/>
      </c>
      <c r="G52" s="37">
        <f>ROUND(($B$3+$E$5)/$E$3,2)</f>
        <v/>
      </c>
      <c r="H52" s="37">
        <f>H51-G52</f>
        <v/>
      </c>
      <c r="I52" s="39">
        <f>B52-B51</f>
        <v/>
      </c>
      <c r="J52" s="39">
        <f>B52-B51</f>
        <v/>
      </c>
    </row>
    <row r="53" ht="15" customHeight="1" s="22">
      <c r="A53" s="24" t="n">
        <v>44</v>
      </c>
      <c r="B53" s="33">
        <f>EOMONTH($E$5,44)</f>
        <v/>
      </c>
      <c r="C53" s="34">
        <f>IF(44=$B$5,F52+D53,$H$4)</f>
        <v/>
      </c>
      <c r="D53" s="35">
        <f>ROUND(F52*$B$4/100*J53/365,2)</f>
        <v/>
      </c>
      <c r="E53" s="36">
        <f>C53-D53</f>
        <v/>
      </c>
      <c r="F53" s="34">
        <f>F52-E53</f>
        <v/>
      </c>
      <c r="G53" s="37">
        <f>ROUND(($B$3+$E$5)/$E$3,2)</f>
        <v/>
      </c>
      <c r="H53" s="37">
        <f>H52-G53</f>
        <v/>
      </c>
      <c r="I53" s="39">
        <f>B53-B52</f>
        <v/>
      </c>
      <c r="J53" s="39">
        <f>B53-B52</f>
        <v/>
      </c>
    </row>
    <row r="54" ht="15" customHeight="1" s="22">
      <c r="A54" s="24" t="n">
        <v>45</v>
      </c>
      <c r="B54" s="33">
        <f>EOMONTH($E$5,45)</f>
        <v/>
      </c>
      <c r="C54" s="34">
        <f>IF(45=$B$5,F53+D54,$H$4)</f>
        <v/>
      </c>
      <c r="D54" s="35">
        <f>ROUND(F53*$B$4/100*J54/365,2)</f>
        <v/>
      </c>
      <c r="E54" s="36">
        <f>C54-D54</f>
        <v/>
      </c>
      <c r="F54" s="34">
        <f>F53-E54</f>
        <v/>
      </c>
      <c r="G54" s="37">
        <f>ROUND(($B$3+$E$5)/$E$3,2)</f>
        <v/>
      </c>
      <c r="H54" s="37">
        <f>H53-G54</f>
        <v/>
      </c>
      <c r="I54" s="39">
        <f>B54-B53</f>
        <v/>
      </c>
      <c r="J54" s="39">
        <f>B54-B53</f>
        <v/>
      </c>
    </row>
    <row r="55" ht="15" customHeight="1" s="22">
      <c r="A55" s="24" t="n">
        <v>46</v>
      </c>
      <c r="B55" s="33">
        <f>EOMONTH($E$5,46)</f>
        <v/>
      </c>
      <c r="C55" s="34">
        <f>IF(46=$B$5,F54+D55,$H$4)</f>
        <v/>
      </c>
      <c r="D55" s="35">
        <f>ROUND(F54*$B$4/100*J55/365,2)</f>
        <v/>
      </c>
      <c r="E55" s="36">
        <f>C55-D55</f>
        <v/>
      </c>
      <c r="F55" s="34">
        <f>F54-E55</f>
        <v/>
      </c>
      <c r="G55" s="37">
        <f>ROUND(($B$3+$E$5)/$E$3,2)</f>
        <v/>
      </c>
      <c r="H55" s="37">
        <f>H54-G55</f>
        <v/>
      </c>
      <c r="I55" s="39">
        <f>B55-B54</f>
        <v/>
      </c>
      <c r="J55" s="39">
        <f>B55-B54</f>
        <v/>
      </c>
    </row>
    <row r="56" ht="15" customHeight="1" s="22">
      <c r="A56" s="24" t="n">
        <v>47</v>
      </c>
      <c r="B56" s="33">
        <f>EOMONTH($E$5,47)</f>
        <v/>
      </c>
      <c r="C56" s="34">
        <f>IF(47=$B$5,F55+D56,$H$4)</f>
        <v/>
      </c>
      <c r="D56" s="35">
        <f>ROUND(F55*$B$4/100*J56/365,2)</f>
        <v/>
      </c>
      <c r="E56" s="36">
        <f>C56-D56</f>
        <v/>
      </c>
      <c r="F56" s="34">
        <f>F55-E56</f>
        <v/>
      </c>
      <c r="G56" s="37">
        <f>ROUND(($B$3+$E$5)/$E$3,2)</f>
        <v/>
      </c>
      <c r="H56" s="37">
        <f>H55-G56</f>
        <v/>
      </c>
      <c r="I56" s="39">
        <f>B56-B55</f>
        <v/>
      </c>
      <c r="J56" s="39">
        <f>B56-B55</f>
        <v/>
      </c>
    </row>
    <row r="57" ht="15" customHeight="1" s="22">
      <c r="A57" s="24" t="n">
        <v>48</v>
      </c>
      <c r="B57" s="33">
        <f>EOMONTH($E$5,48)</f>
        <v/>
      </c>
      <c r="C57" s="34">
        <f>IF(48=$B$5,F56+D57,$H$4)</f>
        <v/>
      </c>
      <c r="D57" s="35">
        <f>ROUND(F56*$B$4/100*J57/365,2)</f>
        <v/>
      </c>
      <c r="E57" s="36">
        <f>C57-D57</f>
        <v/>
      </c>
      <c r="F57" s="34">
        <f>F56-E57</f>
        <v/>
      </c>
      <c r="G57" s="37">
        <f>ROUND(($B$3+$E$5)/$E$3,2)</f>
        <v/>
      </c>
      <c r="H57" s="37">
        <f>H56-G57</f>
        <v/>
      </c>
      <c r="I57" s="39">
        <f>B57-B56</f>
        <v/>
      </c>
      <c r="J57" s="39">
        <f>B57-B56</f>
        <v/>
      </c>
    </row>
    <row r="58" ht="15" customHeight="1" s="22">
      <c r="A58" s="24" t="n">
        <v>49</v>
      </c>
      <c r="B58" s="33">
        <f>EOMONTH($E$5,49)</f>
        <v/>
      </c>
      <c r="C58" s="34">
        <f>IF(49=$B$5,F57+D58,$H$4)</f>
        <v/>
      </c>
      <c r="D58" s="35">
        <f>ROUND(F57*$B$4/100*J58/365,2)</f>
        <v/>
      </c>
      <c r="E58" s="36">
        <f>C58-D58</f>
        <v/>
      </c>
      <c r="F58" s="34">
        <f>F57-E58</f>
        <v/>
      </c>
      <c r="G58" s="37">
        <f>ROUND(($B$3+$E$5)/$E$3,2)</f>
        <v/>
      </c>
      <c r="H58" s="37">
        <f>H57-G58</f>
        <v/>
      </c>
      <c r="I58" s="39">
        <f>B58-B57</f>
        <v/>
      </c>
      <c r="J58" s="39">
        <f>B58-B57</f>
        <v/>
      </c>
    </row>
    <row r="59" ht="15" customHeight="1" s="22">
      <c r="A59" s="24" t="n">
        <v>50</v>
      </c>
      <c r="B59" s="33">
        <f>EOMONTH($E$5,50)</f>
        <v/>
      </c>
      <c r="C59" s="34">
        <f>IF(50=$B$5,F58+D59,$H$4)</f>
        <v/>
      </c>
      <c r="D59" s="35">
        <f>ROUND(F58*$B$4/100*J59/365,2)</f>
        <v/>
      </c>
      <c r="E59" s="36">
        <f>C59-D59</f>
        <v/>
      </c>
      <c r="F59" s="34">
        <f>F58-E59</f>
        <v/>
      </c>
      <c r="G59" s="37">
        <f>ROUND(($B$3+$E$5)/$E$3,2)</f>
        <v/>
      </c>
      <c r="H59" s="37">
        <f>H58-G59</f>
        <v/>
      </c>
      <c r="I59" s="39">
        <f>B59-B58</f>
        <v/>
      </c>
      <c r="J59" s="39">
        <f>B59-B58</f>
        <v/>
      </c>
    </row>
    <row r="60" ht="15" customHeight="1" s="22">
      <c r="A60" s="24" t="n">
        <v>51</v>
      </c>
      <c r="B60" s="33">
        <f>EOMONTH($E$5,51)</f>
        <v/>
      </c>
      <c r="C60" s="34">
        <f>IF(51=$B$5,F59+D60,$H$4)</f>
        <v/>
      </c>
      <c r="D60" s="35">
        <f>ROUND(F59*$B$4/100*J60/365,2)</f>
        <v/>
      </c>
      <c r="E60" s="36">
        <f>C60-D60</f>
        <v/>
      </c>
      <c r="F60" s="34">
        <f>F59-E60</f>
        <v/>
      </c>
      <c r="G60" s="37">
        <f>ROUND(($B$3+$E$5)/$E$3,2)</f>
        <v/>
      </c>
      <c r="H60" s="37">
        <f>H59-G60</f>
        <v/>
      </c>
      <c r="I60" s="39">
        <f>B60-B59</f>
        <v/>
      </c>
      <c r="J60" s="39">
        <f>B60-B59</f>
        <v/>
      </c>
    </row>
    <row r="61" ht="15" customHeight="1" s="22">
      <c r="A61" s="24" t="n">
        <v>52</v>
      </c>
      <c r="B61" s="33">
        <f>EOMONTH($E$5,52)</f>
        <v/>
      </c>
      <c r="C61" s="34">
        <f>IF(52=$B$5,F60+D61,$H$4)</f>
        <v/>
      </c>
      <c r="D61" s="35">
        <f>ROUND(F60*$B$4/100*J61/365,2)</f>
        <v/>
      </c>
      <c r="E61" s="36">
        <f>C61-D61</f>
        <v/>
      </c>
      <c r="F61" s="34">
        <f>F60-E61</f>
        <v/>
      </c>
      <c r="G61" s="37">
        <f>ROUND(($B$3+$E$5)/$E$3,2)</f>
        <v/>
      </c>
      <c r="H61" s="37">
        <f>H60-G61</f>
        <v/>
      </c>
      <c r="I61" s="39">
        <f>B61-B60</f>
        <v/>
      </c>
      <c r="J61" s="39">
        <f>B61-B60</f>
        <v/>
      </c>
    </row>
    <row r="62" ht="15" customHeight="1" s="22">
      <c r="A62" s="24" t="n">
        <v>53</v>
      </c>
      <c r="B62" s="33">
        <f>EOMONTH($E$5,53)</f>
        <v/>
      </c>
      <c r="C62" s="34">
        <f>IF(53=$B$5,F61+D62,$H$4)</f>
        <v/>
      </c>
      <c r="D62" s="35">
        <f>ROUND(F61*$B$4/100*J62/365,2)</f>
        <v/>
      </c>
      <c r="E62" s="36">
        <f>C62-D62</f>
        <v/>
      </c>
      <c r="F62" s="34">
        <f>F61-E62</f>
        <v/>
      </c>
      <c r="G62" s="37">
        <f>ROUND(($B$3+$E$5)/$E$3,2)</f>
        <v/>
      </c>
      <c r="H62" s="37">
        <f>H61-G62</f>
        <v/>
      </c>
      <c r="I62" s="39">
        <f>B62-B61</f>
        <v/>
      </c>
      <c r="J62" s="39">
        <f>B62-B61</f>
        <v/>
      </c>
    </row>
    <row r="63" ht="15" customHeight="1" s="22">
      <c r="A63" s="24" t="n">
        <v>54</v>
      </c>
      <c r="B63" s="33">
        <f>EOMONTH($E$5,54)</f>
        <v/>
      </c>
      <c r="C63" s="34">
        <f>IF(54=$B$5,F62+D63,$H$4)</f>
        <v/>
      </c>
      <c r="D63" s="35">
        <f>ROUND(F62*$B$4/100*J63/365,2)</f>
        <v/>
      </c>
      <c r="E63" s="36">
        <f>C63-D63</f>
        <v/>
      </c>
      <c r="F63" s="34">
        <f>F62-E63</f>
        <v/>
      </c>
      <c r="G63" s="37">
        <f>ROUND(($B$3+$E$5)/$E$3,2)</f>
        <v/>
      </c>
      <c r="H63" s="37">
        <f>H62-G63</f>
        <v/>
      </c>
      <c r="I63" s="39">
        <f>B63-B62</f>
        <v/>
      </c>
      <c r="J63" s="39">
        <f>B63-B62</f>
        <v/>
      </c>
    </row>
    <row r="64" ht="15" customHeight="1" s="22">
      <c r="A64" s="24" t="n">
        <v>55</v>
      </c>
      <c r="B64" s="33">
        <f>EOMONTH($E$5,55)</f>
        <v/>
      </c>
      <c r="C64" s="34">
        <f>IF(55=$B$5,F63+D64,$H$4)</f>
        <v/>
      </c>
      <c r="D64" s="35">
        <f>ROUND(F63*$B$4/100*J64/365,2)</f>
        <v/>
      </c>
      <c r="E64" s="36">
        <f>C64-D64</f>
        <v/>
      </c>
      <c r="F64" s="34">
        <f>F63-E64</f>
        <v/>
      </c>
      <c r="G64" s="37">
        <f>ROUND(($B$3+$E$5)/$E$3,2)</f>
        <v/>
      </c>
      <c r="H64" s="37">
        <f>H63-G64</f>
        <v/>
      </c>
      <c r="I64" s="39">
        <f>B64-B63</f>
        <v/>
      </c>
      <c r="J64" s="39">
        <f>B64-B63</f>
        <v/>
      </c>
    </row>
    <row r="65" ht="15" customHeight="1" s="22">
      <c r="A65" s="24" t="n">
        <v>56</v>
      </c>
      <c r="B65" s="33">
        <f>EOMONTH($E$5,56)</f>
        <v/>
      </c>
      <c r="C65" s="34">
        <f>IF(56=$B$5,F64+D65,$H$4)</f>
        <v/>
      </c>
      <c r="D65" s="35">
        <f>ROUND(F64*$B$4/100*J65/365,2)</f>
        <v/>
      </c>
      <c r="E65" s="36">
        <f>C65-D65</f>
        <v/>
      </c>
      <c r="F65" s="34">
        <f>F64-E65</f>
        <v/>
      </c>
      <c r="G65" s="37">
        <f>ROUND(($B$3+$E$5)/$E$3,2)</f>
        <v/>
      </c>
      <c r="H65" s="37">
        <f>H64-G65</f>
        <v/>
      </c>
      <c r="I65" s="39">
        <f>B65-B64</f>
        <v/>
      </c>
      <c r="J65" s="39">
        <f>B65-B64</f>
        <v/>
      </c>
    </row>
    <row r="66" ht="15" customHeight="1" s="22">
      <c r="A66" s="24" t="n">
        <v>57</v>
      </c>
      <c r="B66" s="33">
        <f>EOMONTH($E$5,57)</f>
        <v/>
      </c>
      <c r="C66" s="34">
        <f>IF(57=$B$5,F65+D66,$H$4)</f>
        <v/>
      </c>
      <c r="D66" s="35">
        <f>ROUND(F65*$B$4/100*J66/365,2)</f>
        <v/>
      </c>
      <c r="E66" s="36">
        <f>C66-D66</f>
        <v/>
      </c>
      <c r="F66" s="34">
        <f>F65-E66</f>
        <v/>
      </c>
      <c r="G66" s="37">
        <f>ROUND(($B$3+$E$5)/$E$3,2)</f>
        <v/>
      </c>
      <c r="H66" s="37">
        <f>H65-G66</f>
        <v/>
      </c>
      <c r="I66" s="39">
        <f>B66-B65</f>
        <v/>
      </c>
      <c r="J66" s="39">
        <f>B66-B65</f>
        <v/>
      </c>
    </row>
    <row r="67" ht="15" customHeight="1" s="22">
      <c r="A67" s="24" t="n">
        <v>58</v>
      </c>
      <c r="B67" s="33">
        <f>EOMONTH($E$5,58)</f>
        <v/>
      </c>
      <c r="C67" s="34">
        <f>IF(58=$B$5,F66+D67,$H$4)</f>
        <v/>
      </c>
      <c r="D67" s="35">
        <f>ROUND(F66*$B$4/100*J67/365,2)</f>
        <v/>
      </c>
      <c r="E67" s="36">
        <f>C67-D67</f>
        <v/>
      </c>
      <c r="F67" s="34">
        <f>F66-E67</f>
        <v/>
      </c>
      <c r="G67" s="37">
        <f>ROUND(($B$3+$E$5)/$E$3,2)</f>
        <v/>
      </c>
      <c r="H67" s="37">
        <f>H66-G67</f>
        <v/>
      </c>
      <c r="I67" s="39">
        <f>B67-B66</f>
        <v/>
      </c>
      <c r="J67" s="39">
        <f>B67-B66</f>
        <v/>
      </c>
    </row>
    <row r="68" ht="15" customHeight="1" s="22">
      <c r="A68" s="24" t="n">
        <v>59</v>
      </c>
      <c r="B68" s="33">
        <f>EOMONTH($E$5,59)</f>
        <v/>
      </c>
      <c r="C68" s="34">
        <f>IF(59=$B$5,F67+D68,$H$4)</f>
        <v/>
      </c>
      <c r="D68" s="35">
        <f>ROUND(F67*$B$4/100*J68/365,2)</f>
        <v/>
      </c>
      <c r="E68" s="36">
        <f>C68-D68</f>
        <v/>
      </c>
      <c r="F68" s="34">
        <f>F67-E68</f>
        <v/>
      </c>
      <c r="G68" s="37">
        <f>ROUND(($B$3+$E$5)/$E$3,2)</f>
        <v/>
      </c>
      <c r="H68" s="37">
        <f>H67-G68</f>
        <v/>
      </c>
      <c r="I68" s="39">
        <f>B68-B67</f>
        <v/>
      </c>
      <c r="J68" s="39">
        <f>B68-B67</f>
        <v/>
      </c>
    </row>
    <row r="69" ht="15" customHeight="1" s="22">
      <c r="A69" s="24" t="n">
        <v>60</v>
      </c>
      <c r="B69" s="33">
        <f>EOMONTH($E$5,60)</f>
        <v/>
      </c>
      <c r="C69" s="34">
        <f>IF(60=$B$5,F68+D69,$H$4)</f>
        <v/>
      </c>
      <c r="D69" s="35">
        <f>ROUND(F68*$B$4/100*J69/365,2)</f>
        <v/>
      </c>
      <c r="E69" s="36">
        <f>C69-D69</f>
        <v/>
      </c>
      <c r="F69" s="34">
        <f>F68-E69</f>
        <v/>
      </c>
      <c r="G69" s="37">
        <f>ROUND(($B$3+$E$5)/$E$3,2)</f>
        <v/>
      </c>
      <c r="H69" s="37">
        <f>H68-G69</f>
        <v/>
      </c>
      <c r="I69" s="39">
        <f>B69-B68</f>
        <v/>
      </c>
      <c r="J69" s="39">
        <f>B69-B68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1" min="1" max="1"/>
    <col width="16" customWidth="1" style="21" min="3" max="3"/>
    <col width="72" customWidth="1" style="21" min="4" max="4"/>
  </cols>
  <sheetData>
    <row r="1" ht="16.15" customHeight="1" s="22">
      <c r="A1" s="23" t="inlineStr">
        <is>
          <t>LSO-DEMO-001 — Maturity Profile</t>
        </is>
      </c>
    </row>
    <row r="3" ht="15" customHeight="1" s="22">
      <c r="A3" s="40" t="inlineStr">
        <is>
          <t>GL Classification — Aging</t>
        </is>
      </c>
      <c r="D3" s="41" t="inlineStr">
        <is>
          <t>ที่มา / วิธีคิด (อ้างอิงแท็บ schedule)</t>
        </is>
      </c>
    </row>
    <row r="4" ht="15" customHeight="1" s="22">
      <c r="A4" s="24" t="inlineStr">
        <is>
          <t>Current Portion (≤ 12 เดือน)</t>
        </is>
      </c>
      <c r="C4" s="34">
        <f>SUM('Lease Other'!E10:E21)</f>
        <v/>
      </c>
      <c r="D4" s="42" t="inlineStr">
        <is>
          <t>รวม "เงินต้นตัดต่องวด" (คอลัมน์ PRINCIPAL (ตัดต้น) — ตัวเลขสีเขียว) ของงวดที่ 1–12</t>
        </is>
      </c>
    </row>
    <row r="5" ht="15" customHeight="1" s="22">
      <c r="A5" s="24" t="inlineStr">
        <is>
          <t>Non-current (&gt; 12 เดือน)</t>
        </is>
      </c>
      <c r="C5" s="34">
        <f>SUM('Lease Other'!E22:E69)</f>
        <v/>
      </c>
      <c r="D5" s="42" t="inlineStr">
        <is>
          <t>รวม "เงินต้นตัดต่องวด" (PRINCIPAL สีเขียว) ของงวดที่ 13–60  (หรือ Total ลบ Current)</t>
        </is>
      </c>
    </row>
    <row r="6" ht="15" customHeight="1" s="22">
      <c r="A6" s="29" t="inlineStr">
        <is>
          <t>Total Principal</t>
        </is>
      </c>
      <c r="C6" s="30">
        <f>'Lease Other'!$B$3</f>
        <v/>
      </c>
      <c r="D6" s="42" t="inlineStr">
        <is>
          <t>เงินต้นตั้งต้น — ช่อง PRINCIPAL / ROU (มุมบนซ้ายของแท็บ schedule)</t>
        </is>
      </c>
    </row>
    <row r="8" ht="14.15" customHeight="1" s="22">
      <c r="A8" s="40" t="inlineStr">
        <is>
          <t>ภาระผูกพันในอนาคต (เงินต้น + ดอกเบี้ย ยังไม่คิดลด)</t>
        </is>
      </c>
      <c r="D8" s="41" t="inlineStr">
        <is>
          <t>ที่มา / วิธีคิด</t>
        </is>
      </c>
    </row>
    <row r="9" ht="15" customHeight="1" s="22">
      <c r="A9" s="24" t="inlineStr">
        <is>
          <t>ภายใน 1 ปี</t>
        </is>
      </c>
      <c r="C9" s="34">
        <f>SUMPRODUCT(('Lease Other'!A10:A69&lt;=12)*('Lease Other'!E10:E69+'Lease Other'!D10:D69))</f>
        <v/>
      </c>
      <c r="D9" s="42" t="inlineStr">
        <is>
          <t>รวม "เงินต้นตัดต่องวด (PRINCIPAL สีเขียว)" + "ดอกเบี้ย (INTEREST สีส้ม)" ของงวดที่ 1–12  (เงินสดที่จะจ่ายใน 1 ปีข้างหน้า)</t>
        </is>
      </c>
    </row>
    <row r="10" ht="15" customHeight="1" s="22">
      <c r="A10" s="24" t="inlineStr">
        <is>
          <t>1 - 5 ปี</t>
        </is>
      </c>
      <c r="C10" s="34">
        <f>SUMPRODUCT(('Lease Other'!A10:A69&gt;12)*('Lease Other'!A10:A69&lt;=60)*('Lease Other'!E10:E69+'Lease Other'!D10:D69))</f>
        <v/>
      </c>
      <c r="D10" s="42" t="inlineStr">
        <is>
          <t>รวม PRINCIPAL (สีเขียว) + INTEREST (สีส้ม) ของงวดที่ 13–60</t>
        </is>
      </c>
    </row>
    <row r="11" ht="15" customHeight="1" s="22">
      <c r="A11" s="24" t="inlineStr">
        <is>
          <t>มากกว่า 5 ปี</t>
        </is>
      </c>
      <c r="C11" s="34">
        <f>SUMPRODUCT(('Lease Other'!A10:A69&gt;60)*('Lease Other'!E10:E69+'Lease Other'!D10:D69))</f>
        <v/>
      </c>
      <c r="D11" s="42" t="inlineStr">
        <is>
          <t>รวม PRINCIPAL + INTEREST ของงวดที่เกิน 60 เดือน — สัญญามี 60 งวด จึงไม่มี = 0</t>
        </is>
      </c>
    </row>
    <row r="12" ht="15" customHeight="1" s="22">
      <c r="A12" s="29" t="inlineStr">
        <is>
          <t>Total Future Cash Flow</t>
        </is>
      </c>
      <c r="C12" s="30">
        <f>'Lease Other'!$B$3+'Lease Other'!$H$5</f>
        <v/>
      </c>
      <c r="D12" s="42" t="inlineStr">
        <is>
          <t>ช่อง PRINCIPAL บวก "ดอกเบี้ยรวมทั้งสัญญา" (INTEREST สีส้มรวมทุกงวด)  (กระแสเงินสดอนาคตทั้งหมด ยังไม่คิดลด)</t>
        </is>
      </c>
    </row>
    <row r="14" ht="15" customHeight="1" s="22">
      <c r="A14" s="40" t="inlineStr">
        <is>
          <t>Lease Classification: Finance (net/ROU · TFRS16)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2026-09-29T10:03:35Z</dcterms:created>
  <dcterms:modified xmlns:dcterms="http://purl.org/dc/terms/" xmlns:xsi="http://www.w3.org/2001/XMLSchema-instance" xsi:type="dcterms:W3CDTF">2026-09-29T10:08:44Z</dcterms:modified>
  <cp:revision>0</cp:revision>
</cp:coreProperties>
</file>