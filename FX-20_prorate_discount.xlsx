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X-20 Prorate Discou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<sst xmlns="http://schemas.openxmlformats.org/spreadsheetml/2006/main" count="32" uniqueCount="27">
  <si>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 xml:space="preserve">FX-20 · ส่วนลดปันส่วนตามวันใช้จริง (Pro-rate Discount)</t>
  </si>
  <si>
    <t xml:space="preserve">รายการ</t>
  </si>
  <si>
    <t xml:space="preserve">ค่า</t>
  </si>
  <si>
    <t xml:space="preserve">หมายเหตุ</t>
  </si>
  <si>
    <t xml:space="preserve">deal_date (วันทำสัญญา)</t>
  </si>
  <si>
    <t xml:space="preserve">2026-07-01</t>
  </si>
  <si>
    <t xml:space="preserve">input</t>
  </si>
  <si>
    <t xml:space="preserve">value_date (วันส่งมอบ/ปิดจริง)</t>
  </si>
  <si>
    <t xml:space="preserve">2026-07-31</t>
  </si>
  <si>
    <t xml:space="preserve">maturity_date (วันครบกำหนด)</t>
  </si>
  <si>
    <t xml:space="preserve">2026-08-30</t>
  </si>
  <si>
    <t xml:space="preserve">forward_rate (อัตราล่วงหน้า)</t>
  </si>
  <si>
    <t xml:space="preserve">swap_discount (ส่วนลดเต็มสัญญา)</t>
  </si>
  <si>
    <t xml:space="preserve">notional (จำนวนเงินตราต่างประเทศ)</t>
  </si>
  <si>
    <t xml:space="preserve">fullDays = maturity − deal</t>
  </si>
  <si>
    <t xml:space="preserve">จำนวนวันเต็มของสัญญา = 60</t>
  </si>
  <si>
    <t xml:space="preserve">usedDays = value_date − deal</t>
  </si>
  <si>
    <t xml:space="preserve">วันใช้จริงถึงวันส่งมอบ (30 วัน · ไม่ใช่วันกดปุ่ม)</t>
  </si>
  <si>
    <t xml:space="preserve">สัดส่วน = usedDays / fullDays</t>
  </si>
  <si>
    <t xml:space="preserve">ได้ 0.5</t>
  </si>
  <si>
    <t xml:space="preserve">ส่วนลดปันส่วน = swap_discount × สัดส่วน</t>
  </si>
  <si>
    <t xml:space="preserve">ได้ -0.1500</t>
  </si>
  <si>
    <t xml:space="preserve">อัตราสุทธิ = forward_rate + ส่วนลดปันส่วน</t>
  </si>
  <si>
    <t xml:space="preserve">ได้ 34.8500</t>
  </si>
  <si>
    <t xml:space="preserve">ยอดบาทตามสัญญา = notional × อัตราสุทธิ</t>
  </si>
  <si>
    <t xml:space="preserve">ได้ 3,485,000.00</t>
  </si>
  <si>
    <t xml:space="preserve">หมายเหตุ: usedDays นับจาก deal_date → value_date (วันตามสัญญา) ไม่ใช่วันที่กดปุ่มปิดสัญญา → กดวันไหนก็ได้ยอดเท่าเดิม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</si>
</sst>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  <c r="C4" s="5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  <c r="C5" s="5" t="s">
        <v>6</v>
      </c>
    </row>
    <row r="6" customFormat="false" ht="15" hidden="false" customHeight="false" outlineLevel="0" collapsed="false">
      <c r="A6" s="3" t="s">
        <v>9</v>
      </c>
      <c r="B6" s="4" t="s">
        <v>10</v>
      </c>
      <c r="C6" s="5" t="s">
        <v>6</v>
      </c>
    </row>
    <row r="7" customFormat="false" ht="15" hidden="false" customHeight="false" outlineLevel="0" collapsed="false">
      <c r="A7" s="3" t="s">
        <v>11</v>
      </c>
      <c r="B7" s="6" t="n">
        <v>35</v>
      </c>
      <c r="C7" s="5" t="s">
        <v>6</v>
      </c>
    </row>
    <row r="8" customFormat="false" ht="15" hidden="false" customHeight="false" outlineLevel="0" collapsed="false">
      <c r="A8" s="3" t="s">
        <v>12</v>
      </c>
      <c r="B8" s="6" t="n">
        <v>-0.3</v>
      </c>
      <c r="C8" s="5" t="s">
        <v>6</v>
      </c>
    </row>
    <row r="9" customFormat="false" ht="15" hidden="false" customHeight="false" outlineLevel="0" collapsed="false">
      <c r="A9" s="3" t="s">
        <v>13</v>
      </c>
      <c r="B9" s="7" t="n">
        <v>100000</v>
      </c>
      <c r="C9" s="5" t="s">
        <v>6</v>
      </c>
    </row>
    <row r="10" customFormat="false" ht="15" hidden="false" customHeight="false" outlineLevel="0" collapsed="false">
      <c r="A10" s="3" t="s">
        <v>14</v>
      </c>
      <c r="B10" s="8" t="n">
        <f aca="false">DATEDIF(DATEVALUE(B4),DATEVALUE(B6),"d")</f>
        <v>60</v>
      </c>
      <c r="C10" s="5" t="s">
        <v>15</v>
      </c>
    </row>
    <row r="11" customFormat="false" ht="15" hidden="false" customHeight="false" outlineLevel="0" collapsed="false">
      <c r="A11" s="3" t="s">
        <v>16</v>
      </c>
      <c r="B11" s="8" t="n">
        <f aca="false">DATEDIF(DATEVALUE(B4),DATEVALUE(B5),"d")</f>
        <v>30</v>
      </c>
      <c r="C11" s="5" t="s">
        <v>17</v>
      </c>
    </row>
    <row r="12" customFormat="false" ht="15" hidden="false" customHeight="false" outlineLevel="0" collapsed="false">
      <c r="A12" s="3" t="s">
        <v>18</v>
      </c>
      <c r="B12" s="9" t="n">
        <f aca="false">B11/B10</f>
        <v>0.5</v>
      </c>
      <c r="C12" s="5" t="s">
        <v>19</v>
      </c>
    </row>
    <row r="13" customFormat="false" ht="15" hidden="false" customHeight="false" outlineLevel="0" collapsed="false">
      <c r="A13" s="3" t="s">
        <v>20</v>
      </c>
      <c r="B13" s="10" t="n">
        <f aca="false">B8*B12</f>
        <v>-0.15</v>
      </c>
      <c r="C13" s="5" t="s">
        <v>21</v>
      </c>
    </row>
    <row r="14" customFormat="false" ht="15" hidden="false" customHeight="false" outlineLevel="0" collapsed="false">
      <c r="A14" s="3" t="s">
        <v>22</v>
      </c>
      <c r="B14" s="9" t="n">
        <f aca="false">B7+B13</f>
        <v>34.85</v>
      </c>
      <c r="C14" s="5" t="s">
        <v>23</v>
      </c>
    </row>
    <row r="15" customFormat="false" ht="15" hidden="false" customHeight="false" outlineLevel="0" collapsed="false">
      <c r="A15" s="3" t="s">
        <v>24</v>
      </c>
      <c r="B15" s="11" t="n">
        <f aca="false">B9*B14</f>
        <v>3485000</v>
      </c>
      <c r="C15" s="5" t="s">
        <v>25</v>
      </c>
    </row>
    <row r="17" customFormat="false" ht="14.15" hidden="false" customHeight="false" outlineLevel="0" collapsed="false">
      <c r="A17" s="12" t="s">
        <v>26</v>
      </c>
      <c r="B17" s="12"/>
      <c r="C17" s="12"/>
    </row>
  </sheetData>
  <mergeCells count="2">
    <mergeCell ref="A1:C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2026-10-04T10:26:42Z</dcterms:created>
  <dc:creator>openpyxl</dc:creator>
  <dc:description/>
  <dc:language>en-US</dc:language>
  <cp:lastModifiedBy/>
  <dcterms:modified xsi:type="dcterms:W3CDTF">2026-10-04T10:26:42Z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