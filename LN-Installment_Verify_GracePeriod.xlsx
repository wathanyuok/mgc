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นวณค่างวด" sheetId="1" state="visible" r:id="rId3"/>
    <sheet name="ตารางผ่อน" sheetId="2" state="visible" r:id="rId4"/>
    <sheet name="IRR-MONT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<sst xmlns="http://schemas.openxmlformats.org/spreadsheetml/2006/main" count="60" uniqueCount="52">
  <si>
    <t xml:space="preserve">ตรวจการคำนวณค่างวด (INSTALLMENT) — PAYMENT TYPE: Grace Period and Fix Installment</t>
  </si>
  <si>
    <t xml:space="preserve">กรอกช่องสีเหลือง (ตาม label หน้าจอ Schedule Information) → คำนวณค่างวดให้ · เทียบกับช่อง INSTALLMENT ที่ระบบแสดง</t>
  </si>
  <si>
    <t xml:space="preserve">ข้อมูลนำเข้า — ตาม label หน้าจอ</t>
  </si>
  <si>
    <t xml:space="preserve">PRINCIPAL</t>
  </si>
  <si>
    <t xml:space="preserve">EFFECTIVE INTEREST RATE / YEAR (%)</t>
  </si>
  <si>
    <t xml:space="preserve">TERM (MONTHS)</t>
  </si>
  <si>
    <t xml:space="preserve">GRACE PERIOD (MONTHS)</t>
  </si>
  <si>
    <t xml:space="preserve">PAYMENT TYPE</t>
  </si>
  <si>
    <t xml:space="preserve">Grace Period and Fix Installment</t>
  </si>
  <si>
    <t xml:space="preserve">PAYMENT TIMING</t>
  </si>
  <si>
    <t xml:space="preserve">ชำระปลายงวด (Arrears)</t>
  </si>
  <si>
    <t xml:space="preserve">ขั้นตอนการคำนวณ (สูตรลดต้นลดดอก)</t>
  </si>
  <si>
    <t xml:space="preserve">r = EFFECTIVE INTEREST RATE / YEAR ÷ 12 ÷ 100</t>
  </si>
  <si>
    <t xml:space="preserve">n = TERM (MONTHS) − GRACE PERIOD (MONTHS)</t>
  </si>
  <si>
    <t xml:space="preserve">(1 + r) ^ n</t>
  </si>
  <si>
    <t xml:space="preserve">ตัวเศษ = PRINCIPAL × r × (1+r)^n</t>
  </si>
  <si>
    <t xml:space="preserve">ตัวส่วน = (1+r)^n − 1</t>
  </si>
  <si>
    <t xml:space="preserve">INSTALLMENT (คำนวณ) = ตัวเศษ ÷ ตัวส่วน</t>
  </si>
  <si>
    <t xml:space="preserve">INSTALLMENT (ที่ระบบแสดง) — กรอกเพื่อเทียบ</t>
  </si>
  <si>
    <t xml:space="preserve">ผลตรวจ (PASS/FAIL)</t>
  </si>
  <si>
    <t xml:space="preserve">หมายเหตุ: อัตราต่อเดือน "ห้ามคูณ n ตรง ๆ" (flat) — สูตรลดต้นลดดอกยกกำลัง (1+r)^n เพราะดอกเบี้ยคิดบนยอดคงเหลือที่ลดลงทุกงวด · n ใช้ = TERM − GRACE (ช่วง Grace จ่ายดอกอย่างเดียว ยังไม่ตัดต้น)</t>
  </si>
  <si>
    <t xml:space="preserve">ตารางผ่อนชำระ (Amortization) — GRACE PERIOD 3 งวด + ผ่อนเงินต้น 21 งวด</t>
  </si>
  <si>
    <t xml:space="preserve">งวดที่</t>
  </si>
  <si>
    <t xml:space="preserve">ประเภท</t>
  </si>
  <si>
    <t xml:space="preserve">ยอดต้นต้นงวด</t>
  </si>
  <si>
    <t xml:space="preserve">ดอกเบี้ย</t>
  </si>
  <si>
    <t xml:space="preserve">เงินต้น</t>
  </si>
  <si>
    <t xml:space="preserve">INSTALLMENT</t>
  </si>
  <si>
    <t xml:space="preserve">ยอดต้นปลายงวด</t>
  </si>
  <si>
    <t xml:space="preserve">รวม</t>
  </si>
  <si>
    <t xml:space="preserve">หมายเหตุ: ระบบจริงคิดดอกเบี้ยแบบรายวัน (actual/365) ตามวันสิ้นงวดจริง — ตัวเลขดอกเบี้ยรายงวดในชีทนี้ (ใช้ r คงที่/เดือน) อาจต่างจากระบบเล็กน้อย แต่ค่า INSTALLMENT (ค่างวดคงที่) ตรงกันเป๊ะ</t>
  </si>
  <si>
    <t xml:space="preserve">ตรวจ IRR / MONTH (%) — คิดจากกระแสเงินสดจริง (actual/365) ไม่ใช่ rate ÷ 12</t>
  </si>
  <si>
    <t xml:space="preserve">กรอกช่องเหลือง → คำนวณ IRR/เดือน ให้ · เทียบกับช่อง IRR / MONTH (%) ที่ระบบแสดง</t>
  </si>
  <si>
    <t xml:space="preserve">ข้อมูลนำเข้า (label หน้าจอ)</t>
  </si>
  <si>
    <t xml:space="preserve">INSTALLMENT START DATE</t>
  </si>
  <si>
    <t xml:space="preserve">PAY AT END OF MONTH</t>
  </si>
  <si>
    <t xml:space="preserve">ใช่ (month-end)</t>
  </si>
  <si>
    <t xml:space="preserve">INSTALLMENT (level) = PMT</t>
  </si>
  <si>
    <t xml:space="preserve">i ที่ใช้ทอน = IRR เต็มค่า (ไม่ปัด)</t>
  </si>
  <si>
    <t xml:space="preserve">t (งวด)</t>
  </si>
  <si>
    <t xml:space="preserve">วันเริ่มงวด</t>
  </si>
  <si>
    <t xml:space="preserve">วันสิ้นงวด</t>
  </si>
  <si>
    <t xml:space="preserve">วัน</t>
  </si>
  <si>
    <t xml:space="preserve">ดอกเบี้ย (actual/365)</t>
  </si>
  <si>
    <t xml:space="preserve">กระแสเงินสด (Cashflow)</t>
  </si>
  <si>
    <t xml:space="preserve">(1+i)ᵗ</t>
  </si>
  <si>
    <t xml:space="preserve">มูลค่าปัจจุบัน = ค่างวด ÷ (1+i)ᵗ</t>
  </si>
  <si>
    <t xml:space="preserve">ผลรวมมูลค่าปัจจุบัน (NPV) →</t>
  </si>
  <si>
    <t xml:space="preserve">IRR / MONTH (%) — คำนวณ</t>
  </si>
  <si>
    <t xml:space="preserve">(≈ 0 → ยืนยันว่า i นี้คือ IRR)</t>
  </si>
  <si>
    <t xml:space="preserve">IRR / MONTH (%) — ที่ระบบแสดง (กรอกเทียบ)</t>
  </si>
  <si>
    <t xml:space="preserve">หมายเหตุ: IRR ≠ อัตราต่อปี ÷ 12 · rate÷12 = 0.1667% (nominal) แต่ IRR จริง = 0.1668% เพราะคิดดอก actual/365 (วันจริงต่อเดือนไม่เท่ากัน) + มี Grace 3 งวด ทำให้จังหวะเงินสดต่างออกไป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</si>
</sst>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00"/>
    <numFmt numFmtId="167" formatCode="0"/>
    <numFmt numFmtId="168" formatCode="0.0000000000"/>
    <numFmt numFmtId="169" formatCode="#,##0.000000"/>
    <numFmt numFmtId="170" formatCode="#,##0.00"/>
    <numFmt numFmtId="171" formatCode="dd/mm/yyyy"/>
    <numFmt numFmtId="172" formatCode="0.00000000"/>
    <numFmt numFmtId="173" formatCode="0.000000"/>
    <numFmt numFmtId="174" formatCode="0.000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2"/>
  </cols>
  <sheetData>
    <row r="1" customFormat="false" ht="15" hidden="false" customHeight="true" outlineLevel="0" collapsed="false">
      <c r="A1" s="2" t="s">
        <v>0</v>
      </c>
      <c r="B1" s="2"/>
      <c r="C1" s="2"/>
      <c r="D1" s="2"/>
    </row>
    <row r="2" customFormat="false" ht="11.2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</row>
    <row r="5" customFormat="false" ht="15" hidden="false" customHeight="true" outlineLevel="0" collapsed="false">
      <c r="A5" s="5" t="s">
        <v>3</v>
      </c>
      <c r="B5" s="6" t="n">
        <v>1000000</v>
      </c>
    </row>
    <row r="6" customFormat="false" ht="15" hidden="false" customHeight="true" outlineLevel="0" collapsed="false">
      <c r="A6" s="5" t="s">
        <v>4</v>
      </c>
      <c r="B6" s="7" t="n">
        <v>2</v>
      </c>
    </row>
    <row r="7" customFormat="false" ht="15" hidden="false" customHeight="true" outlineLevel="0" collapsed="false">
      <c r="A7" s="5" t="s">
        <v>5</v>
      </c>
      <c r="B7" s="8" t="n">
        <v>24</v>
      </c>
    </row>
    <row r="8" customFormat="false" ht="15" hidden="false" customHeight="true" outlineLevel="0" collapsed="false">
      <c r="A8" s="5" t="s">
        <v>6</v>
      </c>
      <c r="B8" s="8" t="n">
        <v>3</v>
      </c>
    </row>
    <row r="9" customFormat="false" ht="15" hidden="false" customHeight="true" outlineLevel="0" collapsed="false">
      <c r="A9" s="5" t="s">
        <v>7</v>
      </c>
      <c r="B9" s="9" t="s">
        <v>8</v>
      </c>
    </row>
    <row r="10" customFormat="false" ht="15" hidden="false" customHeight="true" outlineLevel="0" collapsed="false">
      <c r="A10" s="5" t="s">
        <v>9</v>
      </c>
      <c r="B10" s="9" t="s">
        <v>10</v>
      </c>
    </row>
    <row r="12" customFormat="false" ht="15" hidden="false" customHeight="true" outlineLevel="0" collapsed="false">
      <c r="A12" s="4" t="s">
        <v>11</v>
      </c>
      <c r="B12" s="4"/>
    </row>
    <row r="13" customFormat="false" ht="15" hidden="false" customHeight="true" outlineLevel="0" collapsed="false">
      <c r="A13" s="5" t="s">
        <v>12</v>
      </c>
      <c r="B13" s="10" t="n">
        <f aca="false">B6/12/100</f>
        <v>0.00166666666666667</v>
      </c>
    </row>
    <row r="14" customFormat="false" ht="15" hidden="false" customHeight="true" outlineLevel="0" collapsed="false">
      <c r="A14" s="5" t="s">
        <v>13</v>
      </c>
      <c r="B14" s="11" t="n">
        <f aca="false">B7-B8</f>
        <v>21</v>
      </c>
    </row>
    <row r="15" customFormat="false" ht="15" hidden="false" customHeight="true" outlineLevel="0" collapsed="false">
      <c r="A15" s="5" t="s">
        <v>14</v>
      </c>
      <c r="B15" s="10" t="n">
        <f aca="false">(1+B13)^B14</f>
        <v>1.03558953718415</v>
      </c>
    </row>
    <row r="16" customFormat="false" ht="15" hidden="false" customHeight="true" outlineLevel="0" collapsed="false">
      <c r="A16" s="5" t="s">
        <v>15</v>
      </c>
      <c r="B16" s="12" t="n">
        <f aca="false">B5*B13*B15</f>
        <v>1725.98256197359</v>
      </c>
    </row>
    <row r="17" customFormat="false" ht="15" hidden="false" customHeight="true" outlineLevel="0" collapsed="false">
      <c r="A17" s="5" t="s">
        <v>16</v>
      </c>
      <c r="B17" s="10" t="n">
        <f aca="false">B15-1</f>
        <v>0.0355895371841541</v>
      </c>
    </row>
    <row r="18" customFormat="false" ht="15" hidden="false" customHeight="true" outlineLevel="0" collapsed="false">
      <c r="A18" s="13" t="s">
        <v>17</v>
      </c>
      <c r="B18" s="14" t="n">
        <f aca="false">ROUND(B16/B17,2)</f>
        <v>48496.91</v>
      </c>
    </row>
    <row r="20" customFormat="false" ht="15" hidden="false" customHeight="true" outlineLevel="0" collapsed="false">
      <c r="A20" s="5" t="s">
        <v>18</v>
      </c>
      <c r="B20" s="15" t="n">
        <v>48496.91</v>
      </c>
    </row>
    <row r="21" customFormat="false" ht="15" hidden="false" customHeight="true" outlineLevel="0" collapsed="false">
      <c r="A21" s="13" t="s">
        <v>19</v>
      </c>
      <c r="B21" s="16" t="str">
        <f aca="false">IF(ABS(B18-B20)&lt;0.01,"PASS ✓","FAIL ✗")</f>
        <v>PASS ✓</v>
      </c>
    </row>
    <row r="23" customFormat="false" ht="11.25" hidden="false" customHeight="true" outlineLevel="0" collapsed="false">
      <c r="A23" s="17" t="s">
        <v>20</v>
      </c>
      <c r="B23" s="17"/>
      <c r="C23" s="17"/>
      <c r="D23" s="17"/>
    </row>
  </sheetData>
  <mergeCells count="5">
    <mergeCell ref="A1:D1"/>
    <mergeCell ref="A2:D2"/>
    <mergeCell ref="A4:B4"/>
    <mergeCell ref="A12:B1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6" style="1" width="16"/>
  </cols>
  <sheetData>
    <row r="1" customFormat="false" ht="13.5" hidden="false" customHeight="true" outlineLevel="0" collapsed="false">
      <c r="A1" s="18" t="s">
        <v>21</v>
      </c>
      <c r="B1" s="18"/>
      <c r="C1" s="18"/>
      <c r="D1" s="18"/>
      <c r="E1" s="18"/>
      <c r="F1" s="18"/>
      <c r="G1" s="18"/>
    </row>
    <row r="3" customFormat="false" ht="26.2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</row>
    <row r="4" customFormat="false" ht="15" hidden="false" customHeight="true" outlineLevel="0" collapsed="false">
      <c r="A4" s="5" t="n">
        <v>1</v>
      </c>
      <c r="B4" s="5" t="str">
        <f aca="false">IF(1&lt;=คำนวณค่างวด!$B$8,"Grace (ดอกอย่างเดียว)","ผ่อนปกติ")</f>
        <v>Grace (ดอกอย่างเดียว)</v>
      </c>
      <c r="C4" s="19" t="n">
        <f aca="false">คำนวณค่างวด!$B$5</f>
        <v>1000000</v>
      </c>
      <c r="D4" s="19" t="n">
        <f aca="false">ROUND(C4*คำนวณค่างวด!B13,2)</f>
        <v>1666.67</v>
      </c>
      <c r="E4" s="19" t="n">
        <f aca="false">F4-D4</f>
        <v>0</v>
      </c>
      <c r="F4" s="19" t="n">
        <f aca="false">IF(1&lt;=คำนวณค่างวด!$B$8,D4,IF(1=คำนวณค่างวด!$B$7,C4+D4,คำนวณค่างวด!$B$18))</f>
        <v>1666.67</v>
      </c>
      <c r="G4" s="19" t="n">
        <f aca="false">C4-E4</f>
        <v>1000000</v>
      </c>
    </row>
    <row r="5" customFormat="false" ht="15" hidden="false" customHeight="true" outlineLevel="0" collapsed="false">
      <c r="A5" s="5" t="n">
        <v>2</v>
      </c>
      <c r="B5" s="5" t="str">
        <f aca="false">IF(2&lt;=คำนวณค่างวด!$B$8,"Grace (ดอกอย่างเดียว)","ผ่อนปกติ")</f>
        <v>Grace (ดอกอย่างเดียว)</v>
      </c>
      <c r="C5" s="19" t="n">
        <f aca="false">G4</f>
        <v>1000000</v>
      </c>
      <c r="D5" s="19" t="n">
        <f aca="false">ROUND(C5*คำนวณค่างวด!B13,2)</f>
        <v>1666.67</v>
      </c>
      <c r="E5" s="19" t="n">
        <f aca="false">F5-D5</f>
        <v>0</v>
      </c>
      <c r="F5" s="19" t="n">
        <f aca="false">IF(2&lt;=คำนวณค่างวด!$B$8,D5,IF(2=คำนวณค่างวด!$B$7,C5+D5,คำนวณค่างวด!$B$18))</f>
        <v>1666.67</v>
      </c>
      <c r="G5" s="19" t="n">
        <f aca="false">C5-E5</f>
        <v>1000000</v>
      </c>
    </row>
    <row r="6" customFormat="false" ht="15" hidden="false" customHeight="true" outlineLevel="0" collapsed="false">
      <c r="A6" s="5" t="n">
        <v>3</v>
      </c>
      <c r="B6" s="5" t="str">
        <f aca="false">IF(3&lt;=คำนวณค่างวด!$B$8,"Grace (ดอกอย่างเดียว)","ผ่อนปกติ")</f>
        <v>Grace (ดอกอย่างเดียว)</v>
      </c>
      <c r="C6" s="19" t="n">
        <f aca="false">G5</f>
        <v>1000000</v>
      </c>
      <c r="D6" s="19" t="n">
        <f aca="false">ROUND(C6*คำนวณค่างวด!B13,2)</f>
        <v>1666.67</v>
      </c>
      <c r="E6" s="19" t="n">
        <f aca="false">F6-D6</f>
        <v>0</v>
      </c>
      <c r="F6" s="19" t="n">
        <f aca="false">IF(3&lt;=คำนวณค่างวด!$B$8,D6,IF(3=คำนวณค่างวด!$B$7,C6+D6,คำนวณค่างวด!$B$18))</f>
        <v>1666.67</v>
      </c>
      <c r="G6" s="19" t="n">
        <f aca="false">C6-E6</f>
        <v>1000000</v>
      </c>
    </row>
    <row r="7" customFormat="false" ht="15" hidden="false" customHeight="true" outlineLevel="0" collapsed="false">
      <c r="A7" s="5" t="n">
        <v>4</v>
      </c>
      <c r="B7" s="5" t="str">
        <f aca="false">IF(4&lt;=คำนวณค่างวด!$B$8,"Grace (ดอกอย่างเดียว)","ผ่อนปกติ")</f>
        <v>ผ่อนปกติ</v>
      </c>
      <c r="C7" s="19" t="n">
        <f aca="false">G6</f>
        <v>1000000</v>
      </c>
      <c r="D7" s="19" t="n">
        <f aca="false">ROUND(C7*คำนวณค่างวด!B13,2)</f>
        <v>1666.67</v>
      </c>
      <c r="E7" s="19" t="n">
        <f aca="false">F7-D7</f>
        <v>46830.24</v>
      </c>
      <c r="F7" s="19" t="n">
        <f aca="false">IF(4&lt;=คำนวณค่างวด!$B$8,D7,IF(4=คำนวณค่างวด!$B$7,C7+D7,คำนวณค่างวด!$B$18))</f>
        <v>48496.91</v>
      </c>
      <c r="G7" s="19" t="n">
        <f aca="false">C7-E7</f>
        <v>953169.76</v>
      </c>
    </row>
    <row r="8" customFormat="false" ht="15" hidden="false" customHeight="true" outlineLevel="0" collapsed="false">
      <c r="A8" s="5" t="n">
        <v>5</v>
      </c>
      <c r="B8" s="5" t="str">
        <f aca="false">IF(5&lt;=คำนวณค่างวด!$B$8,"Grace (ดอกอย่างเดียว)","ผ่อนปกติ")</f>
        <v>ผ่อนปกติ</v>
      </c>
      <c r="C8" s="19" t="n">
        <f aca="false">G7</f>
        <v>953169.76</v>
      </c>
      <c r="D8" s="19" t="n">
        <f aca="false">ROUND(C8*คำนวณค่างวด!B13,2)</f>
        <v>1588.62</v>
      </c>
      <c r="E8" s="19" t="n">
        <f aca="false">F8-D8</f>
        <v>46908.29</v>
      </c>
      <c r="F8" s="19" t="n">
        <f aca="false">IF(5&lt;=คำนวณค่างวด!$B$8,D8,IF(5=คำนวณค่างวด!$B$7,C8+D8,คำนวณค่างวด!$B$18))</f>
        <v>48496.91</v>
      </c>
      <c r="G8" s="19" t="n">
        <f aca="false">C8-E8</f>
        <v>906261.47</v>
      </c>
    </row>
    <row r="9" customFormat="false" ht="15" hidden="false" customHeight="true" outlineLevel="0" collapsed="false">
      <c r="A9" s="5" t="n">
        <v>6</v>
      </c>
      <c r="B9" s="5" t="str">
        <f aca="false">IF(6&lt;=คำนวณค่างวด!$B$8,"Grace (ดอกอย่างเดียว)","ผ่อนปกติ")</f>
        <v>ผ่อนปกติ</v>
      </c>
      <c r="C9" s="19" t="n">
        <f aca="false">G8</f>
        <v>906261.47</v>
      </c>
      <c r="D9" s="19" t="n">
        <f aca="false">ROUND(C9*คำนวณค่างวด!B13,2)</f>
        <v>1510.44</v>
      </c>
      <c r="E9" s="19" t="n">
        <f aca="false">F9-D9</f>
        <v>46986.47</v>
      </c>
      <c r="F9" s="19" t="n">
        <f aca="false">IF(6&lt;=คำนวณค่างวด!$B$8,D9,IF(6=คำนวณค่างวด!$B$7,C9+D9,คำนวณค่างวด!$B$18))</f>
        <v>48496.91</v>
      </c>
      <c r="G9" s="19" t="n">
        <f aca="false">C9-E9</f>
        <v>859275</v>
      </c>
    </row>
    <row r="10" customFormat="false" ht="15" hidden="false" customHeight="true" outlineLevel="0" collapsed="false">
      <c r="A10" s="5" t="n">
        <v>7</v>
      </c>
      <c r="B10" s="5" t="str">
        <f aca="false">IF(7&lt;=คำนวณค่างวด!$B$8,"Grace (ดอกอย่างเดียว)","ผ่อนปกติ")</f>
        <v>ผ่อนปกติ</v>
      </c>
      <c r="C10" s="19" t="n">
        <f aca="false">G9</f>
        <v>859275</v>
      </c>
      <c r="D10" s="19" t="n">
        <f aca="false">ROUND(C10*คำนวณค่างวด!B13,2)</f>
        <v>1432.13</v>
      </c>
      <c r="E10" s="19" t="n">
        <f aca="false">F10-D10</f>
        <v>47064.78</v>
      </c>
      <c r="F10" s="19" t="n">
        <f aca="false">IF(7&lt;=คำนวณค่างวด!$B$8,D10,IF(7=คำนวณค่างวด!$B$7,C10+D10,คำนวณค่างวด!$B$18))</f>
        <v>48496.91</v>
      </c>
      <c r="G10" s="19" t="n">
        <f aca="false">C10-E10</f>
        <v>812210.22</v>
      </c>
    </row>
    <row r="11" customFormat="false" ht="15" hidden="false" customHeight="true" outlineLevel="0" collapsed="false">
      <c r="A11" s="5" t="n">
        <v>8</v>
      </c>
      <c r="B11" s="5" t="str">
        <f aca="false">IF(8&lt;=คำนวณค่างวด!$B$8,"Grace (ดอกอย่างเดียว)","ผ่อนปกติ")</f>
        <v>ผ่อนปกติ</v>
      </c>
      <c r="C11" s="19" t="n">
        <f aca="false">G10</f>
        <v>812210.22</v>
      </c>
      <c r="D11" s="19" t="n">
        <f aca="false">ROUND(C11*คำนวณค่างวด!B13,2)</f>
        <v>1353.68</v>
      </c>
      <c r="E11" s="19" t="n">
        <f aca="false">F11-D11</f>
        <v>47143.23</v>
      </c>
      <c r="F11" s="19" t="n">
        <f aca="false">IF(8&lt;=คำนวณค่างวด!$B$8,D11,IF(8=คำนวณค่างวด!$B$7,C11+D11,คำนวณค่างวด!$B$18))</f>
        <v>48496.91</v>
      </c>
      <c r="G11" s="19" t="n">
        <f aca="false">C11-E11</f>
        <v>765066.99</v>
      </c>
    </row>
    <row r="12" customFormat="false" ht="15" hidden="false" customHeight="true" outlineLevel="0" collapsed="false">
      <c r="A12" s="5" t="n">
        <v>9</v>
      </c>
      <c r="B12" s="5" t="str">
        <f aca="false">IF(9&lt;=คำนวณค่างวด!$B$8,"Grace (ดอกอย่างเดียว)","ผ่อนปกติ")</f>
        <v>ผ่อนปกติ</v>
      </c>
      <c r="C12" s="19" t="n">
        <f aca="false">G11</f>
        <v>765066.99</v>
      </c>
      <c r="D12" s="19" t="n">
        <f aca="false">ROUND(C12*คำนวณค่างวด!B13,2)</f>
        <v>1275.11</v>
      </c>
      <c r="E12" s="19" t="n">
        <f aca="false">F12-D12</f>
        <v>47221.8</v>
      </c>
      <c r="F12" s="19" t="n">
        <f aca="false">IF(9&lt;=คำนวณค่างวด!$B$8,D12,IF(9=คำนวณค่างวด!$B$7,C12+D12,คำนวณค่างวด!$B$18))</f>
        <v>48496.91</v>
      </c>
      <c r="G12" s="19" t="n">
        <f aca="false">C12-E12</f>
        <v>717845.19</v>
      </c>
    </row>
    <row r="13" customFormat="false" ht="15" hidden="false" customHeight="true" outlineLevel="0" collapsed="false">
      <c r="A13" s="5" t="n">
        <v>10</v>
      </c>
      <c r="B13" s="5" t="str">
        <f aca="false">IF(10&lt;=คำนวณค่างวด!$B$8,"Grace (ดอกอย่างเดียว)","ผ่อนปกติ")</f>
        <v>ผ่อนปกติ</v>
      </c>
      <c r="C13" s="19" t="n">
        <f aca="false">G12</f>
        <v>717845.19</v>
      </c>
      <c r="D13" s="19" t="n">
        <f aca="false">ROUND(C13*คำนวณค่างวด!B13,2)</f>
        <v>1196.41</v>
      </c>
      <c r="E13" s="19" t="n">
        <f aca="false">F13-D13</f>
        <v>47300.5</v>
      </c>
      <c r="F13" s="19" t="n">
        <f aca="false">IF(10&lt;=คำนวณค่างวด!$B$8,D13,IF(10=คำนวณค่างวด!$B$7,C13+D13,คำนวณค่างวด!$B$18))</f>
        <v>48496.91</v>
      </c>
      <c r="G13" s="19" t="n">
        <f aca="false">C13-E13</f>
        <v>670544.69</v>
      </c>
    </row>
    <row r="14" customFormat="false" ht="15" hidden="false" customHeight="true" outlineLevel="0" collapsed="false">
      <c r="A14" s="5" t="n">
        <v>11</v>
      </c>
      <c r="B14" s="5" t="str">
        <f aca="false">IF(11&lt;=คำนวณค่างวด!$B$8,"Grace (ดอกอย่างเดียว)","ผ่อนปกติ")</f>
        <v>ผ่อนปกติ</v>
      </c>
      <c r="C14" s="19" t="n">
        <f aca="false">G13</f>
        <v>670544.69</v>
      </c>
      <c r="D14" s="19" t="n">
        <f aca="false">ROUND(C14*คำนวณค่างวด!B13,2)</f>
        <v>1117.57</v>
      </c>
      <c r="E14" s="19" t="n">
        <f aca="false">F14-D14</f>
        <v>47379.34</v>
      </c>
      <c r="F14" s="19" t="n">
        <f aca="false">IF(11&lt;=คำนวณค่างวด!$B$8,D14,IF(11=คำนวณค่างวด!$B$7,C14+D14,คำนวณค่างวด!$B$18))</f>
        <v>48496.91</v>
      </c>
      <c r="G14" s="19" t="n">
        <f aca="false">C14-E14</f>
        <v>623165.35</v>
      </c>
    </row>
    <row r="15" customFormat="false" ht="15" hidden="false" customHeight="true" outlineLevel="0" collapsed="false">
      <c r="A15" s="5" t="n">
        <v>12</v>
      </c>
      <c r="B15" s="5" t="str">
        <f aca="false">IF(12&lt;=คำนวณค่างวด!$B$8,"Grace (ดอกอย่างเดียว)","ผ่อนปกติ")</f>
        <v>ผ่อนปกติ</v>
      </c>
      <c r="C15" s="19" t="n">
        <f aca="false">G14</f>
        <v>623165.35</v>
      </c>
      <c r="D15" s="19" t="n">
        <f aca="false">ROUND(C15*คำนวณค่างวด!B13,2)</f>
        <v>1038.61</v>
      </c>
      <c r="E15" s="19" t="n">
        <f aca="false">F15-D15</f>
        <v>47458.3</v>
      </c>
      <c r="F15" s="19" t="n">
        <f aca="false">IF(12&lt;=คำนวณค่างวด!$B$8,D15,IF(12=คำนวณค่างวด!$B$7,C15+D15,คำนวณค่างวด!$B$18))</f>
        <v>48496.91</v>
      </c>
      <c r="G15" s="19" t="n">
        <f aca="false">C15-E15</f>
        <v>575707.05</v>
      </c>
    </row>
    <row r="16" customFormat="false" ht="15" hidden="false" customHeight="true" outlineLevel="0" collapsed="false">
      <c r="A16" s="5" t="n">
        <v>13</v>
      </c>
      <c r="B16" s="5" t="str">
        <f aca="false">IF(13&lt;=คำนวณค่างวด!$B$8,"Grace (ดอกอย่างเดียว)","ผ่อนปกติ")</f>
        <v>ผ่อนปกติ</v>
      </c>
      <c r="C16" s="19" t="n">
        <f aca="false">G15</f>
        <v>575707.05</v>
      </c>
      <c r="D16" s="19" t="n">
        <f aca="false">ROUND(C16*คำนวณค่างวด!B13,2)</f>
        <v>959.51</v>
      </c>
      <c r="E16" s="19" t="n">
        <f aca="false">F16-D16</f>
        <v>47537.4</v>
      </c>
      <c r="F16" s="19" t="n">
        <f aca="false">IF(13&lt;=คำนวณค่างวด!$B$8,D16,IF(13=คำนวณค่างวด!$B$7,C16+D16,คำนวณค่างวด!$B$18))</f>
        <v>48496.91</v>
      </c>
      <c r="G16" s="19" t="n">
        <f aca="false">C16-E16</f>
        <v>528169.65</v>
      </c>
    </row>
    <row r="17" customFormat="false" ht="15" hidden="false" customHeight="true" outlineLevel="0" collapsed="false">
      <c r="A17" s="5" t="n">
        <v>14</v>
      </c>
      <c r="B17" s="5" t="str">
        <f aca="false">IF(14&lt;=คำนวณค่างวด!$B$8,"Grace (ดอกอย่างเดียว)","ผ่อนปกติ")</f>
        <v>ผ่อนปกติ</v>
      </c>
      <c r="C17" s="19" t="n">
        <f aca="false">G16</f>
        <v>528169.65</v>
      </c>
      <c r="D17" s="19" t="n">
        <f aca="false">ROUND(C17*คำนวณค่างวด!B13,2)</f>
        <v>880.28</v>
      </c>
      <c r="E17" s="19" t="n">
        <f aca="false">F17-D17</f>
        <v>47616.63</v>
      </c>
      <c r="F17" s="19" t="n">
        <f aca="false">IF(14&lt;=คำนวณค่างวด!$B$8,D17,IF(14=คำนวณค่างวด!$B$7,C17+D17,คำนวณค่างวด!$B$18))</f>
        <v>48496.91</v>
      </c>
      <c r="G17" s="19" t="n">
        <f aca="false">C17-E17</f>
        <v>480553.02</v>
      </c>
    </row>
    <row r="18" customFormat="false" ht="15" hidden="false" customHeight="true" outlineLevel="0" collapsed="false">
      <c r="A18" s="5" t="n">
        <v>15</v>
      </c>
      <c r="B18" s="5" t="str">
        <f aca="false">IF(15&lt;=คำนวณค่างวด!$B$8,"Grace (ดอกอย่างเดียว)","ผ่อนปกติ")</f>
        <v>ผ่อนปกติ</v>
      </c>
      <c r="C18" s="19" t="n">
        <f aca="false">G17</f>
        <v>480553.02</v>
      </c>
      <c r="D18" s="19" t="n">
        <f aca="false">ROUND(C18*คำนวณค่างวด!B13,2)</f>
        <v>800.92</v>
      </c>
      <c r="E18" s="19" t="n">
        <f aca="false">F18-D18</f>
        <v>47695.99</v>
      </c>
      <c r="F18" s="19" t="n">
        <f aca="false">IF(15&lt;=คำนวณค่างวด!$B$8,D18,IF(15=คำนวณค่างวด!$B$7,C18+D18,คำนวณค่างวด!$B$18))</f>
        <v>48496.91</v>
      </c>
      <c r="G18" s="19" t="n">
        <f aca="false">C18-E18</f>
        <v>432857.03</v>
      </c>
    </row>
    <row r="19" customFormat="false" ht="15" hidden="false" customHeight="true" outlineLevel="0" collapsed="false">
      <c r="A19" s="5" t="n">
        <v>16</v>
      </c>
      <c r="B19" s="5" t="str">
        <f aca="false">IF(16&lt;=คำนวณค่างวด!$B$8,"Grace (ดอกอย่างเดียว)","ผ่อนปกติ")</f>
        <v>ผ่อนปกติ</v>
      </c>
      <c r="C19" s="19" t="n">
        <f aca="false">G18</f>
        <v>432857.03</v>
      </c>
      <c r="D19" s="19" t="n">
        <f aca="false">ROUND(C19*คำนวณค่างวด!B13,2)</f>
        <v>721.43</v>
      </c>
      <c r="E19" s="19" t="n">
        <f aca="false">F19-D19</f>
        <v>47775.48</v>
      </c>
      <c r="F19" s="19" t="n">
        <f aca="false">IF(16&lt;=คำนวณค่างวด!$B$8,D19,IF(16=คำนวณค่างวด!$B$7,C19+D19,คำนวณค่างวด!$B$18))</f>
        <v>48496.91</v>
      </c>
      <c r="G19" s="19" t="n">
        <f aca="false">C19-E19</f>
        <v>385081.55</v>
      </c>
    </row>
    <row r="20" customFormat="false" ht="15" hidden="false" customHeight="true" outlineLevel="0" collapsed="false">
      <c r="A20" s="5" t="n">
        <v>17</v>
      </c>
      <c r="B20" s="5" t="str">
        <f aca="false">IF(17&lt;=คำนวณค่างวด!$B$8,"Grace (ดอกอย่างเดียว)","ผ่อนปกติ")</f>
        <v>ผ่อนปกติ</v>
      </c>
      <c r="C20" s="19" t="n">
        <f aca="false">G19</f>
        <v>385081.55</v>
      </c>
      <c r="D20" s="19" t="n">
        <f aca="false">ROUND(C20*คำนวณค่างวด!B13,2)</f>
        <v>641.8</v>
      </c>
      <c r="E20" s="19" t="n">
        <f aca="false">F20-D20</f>
        <v>47855.11</v>
      </c>
      <c r="F20" s="19" t="n">
        <f aca="false">IF(17&lt;=คำนวณค่างวด!$B$8,D20,IF(17=คำนวณค่างวด!$B$7,C20+D20,คำนวณค่างวด!$B$18))</f>
        <v>48496.91</v>
      </c>
      <c r="G20" s="19" t="n">
        <f aca="false">C20-E20</f>
        <v>337226.44</v>
      </c>
    </row>
    <row r="21" customFormat="false" ht="15" hidden="false" customHeight="true" outlineLevel="0" collapsed="false">
      <c r="A21" s="5" t="n">
        <v>18</v>
      </c>
      <c r="B21" s="5" t="str">
        <f aca="false">IF(18&lt;=คำนวณค่างวด!$B$8,"Grace (ดอกอย่างเดียว)","ผ่อนปกติ")</f>
        <v>ผ่อนปกติ</v>
      </c>
      <c r="C21" s="19" t="n">
        <f aca="false">G20</f>
        <v>337226.44</v>
      </c>
      <c r="D21" s="19" t="n">
        <f aca="false">ROUND(C21*คำนวณค่างวด!B13,2)</f>
        <v>562.04</v>
      </c>
      <c r="E21" s="19" t="n">
        <f aca="false">F21-D21</f>
        <v>47934.87</v>
      </c>
      <c r="F21" s="19" t="n">
        <f aca="false">IF(18&lt;=คำนวณค่างวด!$B$8,D21,IF(18=คำนวณค่างวด!$B$7,C21+D21,คำนวณค่างวด!$B$18))</f>
        <v>48496.91</v>
      </c>
      <c r="G21" s="19" t="n">
        <f aca="false">C21-E21</f>
        <v>289291.57</v>
      </c>
    </row>
    <row r="22" customFormat="false" ht="15" hidden="false" customHeight="true" outlineLevel="0" collapsed="false">
      <c r="A22" s="5" t="n">
        <v>19</v>
      </c>
      <c r="B22" s="5" t="str">
        <f aca="false">IF(19&lt;=คำนวณค่างวด!$B$8,"Grace (ดอกอย่างเดียว)","ผ่อนปกติ")</f>
        <v>ผ่อนปกติ</v>
      </c>
      <c r="C22" s="19" t="n">
        <f aca="false">G21</f>
        <v>289291.57</v>
      </c>
      <c r="D22" s="19" t="n">
        <f aca="false">ROUND(C22*คำนวณค่างวด!B13,2)</f>
        <v>482.15</v>
      </c>
      <c r="E22" s="19" t="n">
        <f aca="false">F22-D22</f>
        <v>48014.76</v>
      </c>
      <c r="F22" s="19" t="n">
        <f aca="false">IF(19&lt;=คำนวณค่างวด!$B$8,D22,IF(19=คำนวณค่างวด!$B$7,C22+D22,คำนวณค่างวด!$B$18))</f>
        <v>48496.91</v>
      </c>
      <c r="G22" s="19" t="n">
        <f aca="false">C22-E22</f>
        <v>241276.81</v>
      </c>
    </row>
    <row r="23" customFormat="false" ht="15" hidden="false" customHeight="true" outlineLevel="0" collapsed="false">
      <c r="A23" s="5" t="n">
        <v>20</v>
      </c>
      <c r="B23" s="5" t="str">
        <f aca="false">IF(20&lt;=คำนวณค่างวด!$B$8,"Grace (ดอกอย่างเดียว)","ผ่อนปกติ")</f>
        <v>ผ่อนปกติ</v>
      </c>
      <c r="C23" s="19" t="n">
        <f aca="false">G22</f>
        <v>241276.81</v>
      </c>
      <c r="D23" s="19" t="n">
        <f aca="false">ROUND(C23*คำนวณค่างวด!B13,2)</f>
        <v>402.13</v>
      </c>
      <c r="E23" s="19" t="n">
        <f aca="false">F23-D23</f>
        <v>48094.78</v>
      </c>
      <c r="F23" s="19" t="n">
        <f aca="false">IF(20&lt;=คำนวณค่างวด!$B$8,D23,IF(20=คำนวณค่างวด!$B$7,C23+D23,คำนวณค่างวด!$B$18))</f>
        <v>48496.91</v>
      </c>
      <c r="G23" s="19" t="n">
        <f aca="false">C23-E23</f>
        <v>193182.03</v>
      </c>
    </row>
    <row r="24" customFormat="false" ht="15" hidden="false" customHeight="true" outlineLevel="0" collapsed="false">
      <c r="A24" s="5" t="n">
        <v>21</v>
      </c>
      <c r="B24" s="5" t="str">
        <f aca="false">IF(21&lt;=คำนวณค่างวด!$B$8,"Grace (ดอกอย่างเดียว)","ผ่อนปกติ")</f>
        <v>ผ่อนปกติ</v>
      </c>
      <c r="C24" s="19" t="n">
        <f aca="false">G23</f>
        <v>193182.03</v>
      </c>
      <c r="D24" s="19" t="n">
        <f aca="false">ROUND(C24*คำนวณค่างวด!B13,2)</f>
        <v>321.97</v>
      </c>
      <c r="E24" s="19" t="n">
        <f aca="false">F24-D24</f>
        <v>48174.94</v>
      </c>
      <c r="F24" s="19" t="n">
        <f aca="false">IF(21&lt;=คำนวณค่างวด!$B$8,D24,IF(21=คำนวณค่างวด!$B$7,C24+D24,คำนวณค่างวด!$B$18))</f>
        <v>48496.91</v>
      </c>
      <c r="G24" s="19" t="n">
        <f aca="false">C24-E24</f>
        <v>145007.09</v>
      </c>
    </row>
    <row r="25" customFormat="false" ht="15" hidden="false" customHeight="true" outlineLevel="0" collapsed="false">
      <c r="A25" s="5" t="n">
        <v>22</v>
      </c>
      <c r="B25" s="5" t="str">
        <f aca="false">IF(22&lt;=คำนวณค่างวด!$B$8,"Grace (ดอกอย่างเดียว)","ผ่อนปกติ")</f>
        <v>ผ่อนปกติ</v>
      </c>
      <c r="C25" s="19" t="n">
        <f aca="false">G24</f>
        <v>145007.09</v>
      </c>
      <c r="D25" s="19" t="n">
        <f aca="false">ROUND(C25*คำนวณค่างวด!B13,2)</f>
        <v>241.68</v>
      </c>
      <c r="E25" s="19" t="n">
        <f aca="false">F25-D25</f>
        <v>48255.23</v>
      </c>
      <c r="F25" s="19" t="n">
        <f aca="false">IF(22&lt;=คำนวณค่างวด!$B$8,D25,IF(22=คำนวณค่างวด!$B$7,C25+D25,คำนวณค่างวด!$B$18))</f>
        <v>48496.91</v>
      </c>
      <c r="G25" s="19" t="n">
        <f aca="false">C25-E25</f>
        <v>96751.8599999999</v>
      </c>
    </row>
    <row r="26" customFormat="false" ht="15" hidden="false" customHeight="true" outlineLevel="0" collapsed="false">
      <c r="A26" s="5" t="n">
        <v>23</v>
      </c>
      <c r="B26" s="5" t="str">
        <f aca="false">IF(23&lt;=คำนวณค่างวด!$B$8,"Grace (ดอกอย่างเดียว)","ผ่อนปกติ")</f>
        <v>ผ่อนปกติ</v>
      </c>
      <c r="C26" s="19" t="n">
        <f aca="false">G25</f>
        <v>96751.8599999999</v>
      </c>
      <c r="D26" s="19" t="n">
        <f aca="false">ROUND(C26*คำนวณค่างวด!B13,2)</f>
        <v>161.25</v>
      </c>
      <c r="E26" s="19" t="n">
        <f aca="false">F26-D26</f>
        <v>48335.66</v>
      </c>
      <c r="F26" s="19" t="n">
        <f aca="false">IF(23&lt;=คำนวณค่างวด!$B$8,D26,IF(23=คำนวณค่างวด!$B$7,C26+D26,คำนวณค่างวด!$B$18))</f>
        <v>48496.91</v>
      </c>
      <c r="G26" s="19" t="n">
        <f aca="false">C26-E26</f>
        <v>48416.1999999999</v>
      </c>
    </row>
    <row r="27" customFormat="false" ht="15" hidden="false" customHeight="true" outlineLevel="0" collapsed="false">
      <c r="A27" s="5" t="n">
        <v>24</v>
      </c>
      <c r="B27" s="5" t="str">
        <f aca="false">IF(24&lt;=คำนวณค่างวด!$B$8,"Grace (ดอกอย่างเดียว)","ผ่อนปกติ")</f>
        <v>ผ่อนปกติ</v>
      </c>
      <c r="C27" s="19" t="n">
        <f aca="false">G26</f>
        <v>48416.1999999999</v>
      </c>
      <c r="D27" s="19" t="n">
        <f aca="false">ROUND(C27*คำนวณค่างวด!B13,2)</f>
        <v>80.69</v>
      </c>
      <c r="E27" s="19" t="n">
        <f aca="false">F27-D27</f>
        <v>48416.1999999999</v>
      </c>
      <c r="F27" s="19" t="n">
        <f aca="false">IF(24&lt;=คำนวณค่างวด!$B$8,D27,IF(24=คำนวณค่างวด!$B$7,C27+D27,คำนวณค่างวด!$B$18))</f>
        <v>48496.8899999999</v>
      </c>
      <c r="G27" s="19" t="n">
        <f aca="false">C27-E27</f>
        <v>0</v>
      </c>
    </row>
    <row r="28" customFormat="false" ht="15" hidden="false" customHeight="true" outlineLevel="0" collapsed="false">
      <c r="B28" s="13" t="s">
        <v>29</v>
      </c>
      <c r="D28" s="20" t="n">
        <f aca="false">SUM(D4:D27)</f>
        <v>23435.1</v>
      </c>
      <c r="E28" s="20" t="n">
        <f aca="false">SUM(E4:E27)</f>
        <v>1000000</v>
      </c>
      <c r="F28" s="20" t="n">
        <f aca="false">SUM(F4:F27)</f>
        <v>1023435.1</v>
      </c>
    </row>
    <row r="30" customFormat="false" ht="11.25" hidden="false" customHeight="true" outlineLevel="0" collapsed="false">
      <c r="A30" s="3" t="s">
        <v>30</v>
      </c>
      <c r="B30" s="3"/>
      <c r="C30" s="3"/>
      <c r="D30" s="3"/>
      <c r="E30" s="3"/>
      <c r="F30" s="3"/>
      <c r="G30" s="3"/>
    </row>
  </sheetData>
  <mergeCells count="2">
    <mergeCell ref="A1:G1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1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3" t="s">
        <v>32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33</v>
      </c>
      <c r="B4" s="4"/>
    </row>
    <row r="5" customFormat="false" ht="15" hidden="false" customHeight="true" outlineLevel="0" collapsed="false">
      <c r="A5" s="5" t="s">
        <v>3</v>
      </c>
      <c r="B5" s="21" t="n">
        <f aca="false">คำนวณค่างวด!B5</f>
        <v>1000000</v>
      </c>
    </row>
    <row r="6" customFormat="false" ht="15" hidden="false" customHeight="true" outlineLevel="0" collapsed="false">
      <c r="A6" s="5" t="s">
        <v>4</v>
      </c>
      <c r="B6" s="22" t="n">
        <f aca="false">คำนวณค่างวด!B6</f>
        <v>2</v>
      </c>
    </row>
    <row r="7" customFormat="false" ht="15" hidden="false" customHeight="true" outlineLevel="0" collapsed="false">
      <c r="A7" s="5" t="s">
        <v>5</v>
      </c>
      <c r="B7" s="11" t="n">
        <f aca="false">คำนวณค่างวด!B7</f>
        <v>24</v>
      </c>
    </row>
    <row r="8" customFormat="false" ht="15" hidden="false" customHeight="true" outlineLevel="0" collapsed="false">
      <c r="A8" s="5" t="s">
        <v>6</v>
      </c>
      <c r="B8" s="11" t="n">
        <f aca="false">คำนวณค่างวด!B8</f>
        <v>3</v>
      </c>
    </row>
    <row r="9" customFormat="false" ht="15" hidden="false" customHeight="true" outlineLevel="0" collapsed="false">
      <c r="A9" s="5" t="s">
        <v>34</v>
      </c>
      <c r="B9" s="23" t="n">
        <v>46295</v>
      </c>
    </row>
    <row r="10" customFormat="false" ht="15" hidden="false" customHeight="true" outlineLevel="0" collapsed="false">
      <c r="A10" s="5" t="s">
        <v>35</v>
      </c>
      <c r="B10" s="9" t="s">
        <v>36</v>
      </c>
    </row>
    <row r="11" customFormat="false" ht="15" hidden="false" customHeight="true" outlineLevel="0" collapsed="false">
      <c r="A11" s="13" t="s">
        <v>37</v>
      </c>
      <c r="B11" s="20" t="n">
        <f aca="false">-PMT($B$6/100/12,$B$7-$B$8,$B$5)</f>
        <v>48496.9094439953</v>
      </c>
    </row>
    <row r="12" customFormat="false" ht="15" hidden="false" customHeight="false" outlineLevel="0" collapsed="false">
      <c r="A12" s="13" t="s">
        <v>38</v>
      </c>
      <c r="B12" s="24" t="n">
        <f aca="false">IRR(H14:H38,$B$6/100/12)</f>
        <v>0.00166768805785326</v>
      </c>
    </row>
    <row r="13" customFormat="false" ht="39" hidden="false" customHeight="true" outlineLevel="0" collapsed="false">
      <c r="A13" s="4" t="s">
        <v>39</v>
      </c>
      <c r="B13" s="4" t="s">
        <v>40</v>
      </c>
      <c r="C13" s="4" t="s">
        <v>41</v>
      </c>
      <c r="D13" s="4" t="s">
        <v>42</v>
      </c>
      <c r="E13" s="4" t="s">
        <v>24</v>
      </c>
      <c r="F13" s="4" t="s">
        <v>43</v>
      </c>
      <c r="G13" s="4" t="s">
        <v>26</v>
      </c>
      <c r="H13" s="4" t="s">
        <v>44</v>
      </c>
      <c r="I13" s="4" t="s">
        <v>28</v>
      </c>
      <c r="J13" s="4" t="s">
        <v>45</v>
      </c>
      <c r="K13" s="4" t="s">
        <v>46</v>
      </c>
    </row>
    <row r="14" customFormat="false" ht="15" hidden="false" customHeight="true" outlineLevel="0" collapsed="false">
      <c r="A14" s="5" t="n">
        <v>0</v>
      </c>
      <c r="B14" s="25" t="n">
        <f aca="false">$B$9</f>
        <v>46295</v>
      </c>
      <c r="H14" s="20" t="n">
        <f aca="false">-$B$5</f>
        <v>-1000000</v>
      </c>
      <c r="J14" s="26" t="n">
        <f aca="false">(1+$B$12)^A14</f>
        <v>1</v>
      </c>
      <c r="K14" s="27" t="n">
        <f aca="false">H14/J14</f>
        <v>-1000000</v>
      </c>
    </row>
    <row r="15" customFormat="false" ht="15" hidden="false" customHeight="true" outlineLevel="0" collapsed="false">
      <c r="A15" s="5" t="n">
        <v>1</v>
      </c>
      <c r="B15" s="25" t="n">
        <f aca="false">EOMONTH($B$9,0)</f>
        <v>46295</v>
      </c>
      <c r="C15" s="25" t="n">
        <f aca="false">EOMONTH($B$9,1)</f>
        <v>46326</v>
      </c>
      <c r="D15" s="5" t="n">
        <f aca="false">C15-B15</f>
        <v>31</v>
      </c>
      <c r="E15" s="19" t="n">
        <f aca="false">$B$5</f>
        <v>1000000</v>
      </c>
      <c r="F15" s="19" t="n">
        <f aca="false">E15*$B$6/100*D15/365</f>
        <v>1698.6301369863</v>
      </c>
      <c r="G15" s="19" t="n">
        <f aca="false">H15-F15</f>
        <v>0</v>
      </c>
      <c r="H15" s="19" t="n">
        <f aca="false">IF(1&lt;=$B$8,F15,IF(1=$B$7,E15+F15,$B$11))</f>
        <v>1698.6301369863</v>
      </c>
      <c r="I15" s="19" t="n">
        <f aca="false">E15-G15</f>
        <v>1000000</v>
      </c>
      <c r="J15" s="26" t="n">
        <f aca="false">(1+$B$12)^A15</f>
        <v>1.00166768805785</v>
      </c>
      <c r="K15" s="27" t="n">
        <f aca="false">H15/J15</f>
        <v>1695.8020681288</v>
      </c>
    </row>
    <row r="16" customFormat="false" ht="15" hidden="false" customHeight="true" outlineLevel="0" collapsed="false">
      <c r="A16" s="5" t="n">
        <v>2</v>
      </c>
      <c r="B16" s="25" t="n">
        <f aca="false">EOMONTH($B$9,1)</f>
        <v>46326</v>
      </c>
      <c r="C16" s="25" t="n">
        <f aca="false">EOMONTH($B$9,2)</f>
        <v>46356</v>
      </c>
      <c r="D16" s="5" t="n">
        <f aca="false">C16-B16</f>
        <v>30</v>
      </c>
      <c r="E16" s="19" t="n">
        <f aca="false">I15</f>
        <v>1000000</v>
      </c>
      <c r="F16" s="19" t="n">
        <f aca="false">E16*$B$6/100*D16/365</f>
        <v>1643.83561643836</v>
      </c>
      <c r="G16" s="19" t="n">
        <f aca="false">H16-F16</f>
        <v>0</v>
      </c>
      <c r="H16" s="19" t="n">
        <f aca="false">IF(2&lt;=$B$8,F16,IF(2=$B$7,E16+F16,$B$11))</f>
        <v>1643.83561643836</v>
      </c>
      <c r="I16" s="19" t="n">
        <f aca="false">E16-G16</f>
        <v>1000000</v>
      </c>
      <c r="J16" s="26" t="n">
        <f aca="false">(1+$B$12)^A16</f>
        <v>1.00333815729916</v>
      </c>
      <c r="K16" s="27" t="n">
        <f aca="false">H16/J16</f>
        <v>1638.36649137646</v>
      </c>
    </row>
    <row r="17" customFormat="false" ht="15" hidden="false" customHeight="true" outlineLevel="0" collapsed="false">
      <c r="A17" s="5" t="n">
        <v>3</v>
      </c>
      <c r="B17" s="25" t="n">
        <f aca="false">EOMONTH($B$9,2)</f>
        <v>46356</v>
      </c>
      <c r="C17" s="25" t="n">
        <f aca="false">EOMONTH($B$9,3)</f>
        <v>46387</v>
      </c>
      <c r="D17" s="5" t="n">
        <f aca="false">C17-B17</f>
        <v>31</v>
      </c>
      <c r="E17" s="19" t="n">
        <f aca="false">I16</f>
        <v>1000000</v>
      </c>
      <c r="F17" s="19" t="n">
        <f aca="false">E17*$B$6/100*D17/365</f>
        <v>1698.6301369863</v>
      </c>
      <c r="G17" s="19" t="n">
        <f aca="false">H17-F17</f>
        <v>0</v>
      </c>
      <c r="H17" s="19" t="n">
        <f aca="false">IF(3&lt;=$B$8,F17,IF(3=$B$7,E17+F17,$B$11))</f>
        <v>1698.6301369863</v>
      </c>
      <c r="I17" s="19" t="n">
        <f aca="false">E17-G17</f>
        <v>1000000</v>
      </c>
      <c r="J17" s="26" t="n">
        <f aca="false">(1+$B$12)^A17</f>
        <v>1.00501141236208</v>
      </c>
      <c r="K17" s="27" t="n">
        <f aca="false">H17/J17</f>
        <v>1690.16004802772</v>
      </c>
    </row>
    <row r="18" customFormat="false" ht="15" hidden="false" customHeight="true" outlineLevel="0" collapsed="false">
      <c r="A18" s="5" t="n">
        <v>4</v>
      </c>
      <c r="B18" s="25" t="n">
        <f aca="false">EOMONTH($B$9,3)</f>
        <v>46387</v>
      </c>
      <c r="C18" s="25" t="n">
        <f aca="false">EOMONTH($B$9,4)</f>
        <v>46418</v>
      </c>
      <c r="D18" s="5" t="n">
        <f aca="false">C18-B18</f>
        <v>31</v>
      </c>
      <c r="E18" s="19" t="n">
        <f aca="false">I17</f>
        <v>1000000</v>
      </c>
      <c r="F18" s="19" t="n">
        <f aca="false">E18*$B$6/100*D18/365</f>
        <v>1698.6301369863</v>
      </c>
      <c r="G18" s="19" t="n">
        <f aca="false">H18-F18</f>
        <v>46798.279307009</v>
      </c>
      <c r="H18" s="19" t="n">
        <f aca="false">IF(4&lt;=$B$8,F18,IF(4=$B$7,E18+F18,$B$11))</f>
        <v>48496.9094439953</v>
      </c>
      <c r="I18" s="19" t="n">
        <f aca="false">E18-G18</f>
        <v>953201.720692991</v>
      </c>
      <c r="J18" s="26" t="n">
        <f aca="false">(1+$B$12)^A18</f>
        <v>1.00668745789248</v>
      </c>
      <c r="K18" s="27" t="n">
        <f aca="false">H18/J18</f>
        <v>48174.7428795074</v>
      </c>
    </row>
    <row r="19" customFormat="false" ht="15" hidden="false" customHeight="true" outlineLevel="0" collapsed="false">
      <c r="A19" s="5" t="n">
        <v>5</v>
      </c>
      <c r="B19" s="25" t="n">
        <f aca="false">EOMONTH($B$9,4)</f>
        <v>46418</v>
      </c>
      <c r="C19" s="25" t="n">
        <f aca="false">EOMONTH($B$9,5)</f>
        <v>46446</v>
      </c>
      <c r="D19" s="5" t="n">
        <f aca="false">C19-B19</f>
        <v>28</v>
      </c>
      <c r="E19" s="19" t="n">
        <f aca="false">I18</f>
        <v>953201.720692991</v>
      </c>
      <c r="F19" s="19" t="n">
        <f aca="false">E19*$B$6/100*D19/365</f>
        <v>1462.44647558377</v>
      </c>
      <c r="G19" s="19" t="n">
        <f aca="false">H19-F19</f>
        <v>47034.4629684115</v>
      </c>
      <c r="H19" s="19" t="n">
        <f aca="false">IF(5&lt;=$B$8,F19,IF(5=$B$7,E19+F19,$B$11))</f>
        <v>48496.9094439953</v>
      </c>
      <c r="I19" s="19" t="n">
        <f aca="false">E19-G19</f>
        <v>906167.25772458</v>
      </c>
      <c r="J19" s="26" t="n">
        <f aca="false">(1+$B$12)^A19</f>
        <v>1.008366298544</v>
      </c>
      <c r="K19" s="27" t="n">
        <f aca="false">H19/J19</f>
        <v>48094.5361958456</v>
      </c>
    </row>
    <row r="20" customFormat="false" ht="15" hidden="false" customHeight="true" outlineLevel="0" collapsed="false">
      <c r="A20" s="5" t="n">
        <v>6</v>
      </c>
      <c r="B20" s="25" t="n">
        <f aca="false">EOMONTH($B$9,5)</f>
        <v>46446</v>
      </c>
      <c r="C20" s="25" t="n">
        <f aca="false">EOMONTH($B$9,6)</f>
        <v>46477</v>
      </c>
      <c r="D20" s="5" t="n">
        <f aca="false">C20-B20</f>
        <v>31</v>
      </c>
      <c r="E20" s="19" t="n">
        <f aca="false">I19</f>
        <v>906167.25772458</v>
      </c>
      <c r="F20" s="19" t="n">
        <f aca="false">E20*$B$6/100*D20/365</f>
        <v>1539.2430131212</v>
      </c>
      <c r="G20" s="19" t="n">
        <f aca="false">H20-F20</f>
        <v>46957.6664308741</v>
      </c>
      <c r="H20" s="19" t="n">
        <f aca="false">IF(6&lt;=$B$8,F20,IF(6=$B$7,E20+F20,$B$11))</f>
        <v>48496.9094439953</v>
      </c>
      <c r="I20" s="19" t="n">
        <f aca="false">E20-G20</f>
        <v>859209.591293705</v>
      </c>
      <c r="J20" s="26" t="n">
        <f aca="false">(1+$B$12)^A20</f>
        <v>1.01004793897802</v>
      </c>
      <c r="K20" s="27" t="n">
        <f aca="false">H20/J20</f>
        <v>48014.4630492142</v>
      </c>
    </row>
    <row r="21" customFormat="false" ht="15" hidden="false" customHeight="true" outlineLevel="0" collapsed="false">
      <c r="A21" s="5" t="n">
        <v>7</v>
      </c>
      <c r="B21" s="25" t="n">
        <f aca="false">EOMONTH($B$9,6)</f>
        <v>46477</v>
      </c>
      <c r="C21" s="25" t="n">
        <f aca="false">EOMONTH($B$9,7)</f>
        <v>46507</v>
      </c>
      <c r="D21" s="5" t="n">
        <f aca="false">C21-B21</f>
        <v>30</v>
      </c>
      <c r="E21" s="19" t="n">
        <f aca="false">I20</f>
        <v>859209.591293705</v>
      </c>
      <c r="F21" s="19" t="n">
        <f aca="false">E21*$B$6/100*D21/365</f>
        <v>1412.39932815404</v>
      </c>
      <c r="G21" s="19" t="n">
        <f aca="false">H21-F21</f>
        <v>47084.5101158413</v>
      </c>
      <c r="H21" s="19" t="n">
        <f aca="false">IF(7&lt;=$B$8,F21,IF(7=$B$7,E21+F21,$B$11))</f>
        <v>48496.9094439953</v>
      </c>
      <c r="I21" s="19" t="n">
        <f aca="false">E21-G21</f>
        <v>812125.081177864</v>
      </c>
      <c r="J21" s="26" t="n">
        <f aca="false">(1+$B$12)^A21</f>
        <v>1.01173238386372</v>
      </c>
      <c r="K21" s="27" t="n">
        <f aca="false">H21/J21</f>
        <v>47934.5232172858</v>
      </c>
    </row>
    <row r="22" customFormat="false" ht="15" hidden="false" customHeight="true" outlineLevel="0" collapsed="false">
      <c r="A22" s="5" t="n">
        <v>8</v>
      </c>
      <c r="B22" s="25" t="n">
        <f aca="false">EOMONTH($B$9,7)</f>
        <v>46507</v>
      </c>
      <c r="C22" s="25" t="n">
        <f aca="false">EOMONTH($B$9,8)</f>
        <v>46538</v>
      </c>
      <c r="D22" s="5" t="n">
        <f aca="false">C22-B22</f>
        <v>31</v>
      </c>
      <c r="E22" s="19" t="n">
        <f aca="false">I21</f>
        <v>812125.081177864</v>
      </c>
      <c r="F22" s="19" t="n">
        <f aca="false">E22*$B$6/100*D22/365</f>
        <v>1379.50013789117</v>
      </c>
      <c r="G22" s="19" t="n">
        <f aca="false">H22-F22</f>
        <v>47117.4093061041</v>
      </c>
      <c r="H22" s="19" t="n">
        <f aca="false">IF(8&lt;=$B$8,F22,IF(8=$B$7,E22+F22,$B$11))</f>
        <v>48496.9094439953</v>
      </c>
      <c r="I22" s="19" t="n">
        <f aca="false">E22-G22</f>
        <v>765007.67187176</v>
      </c>
      <c r="J22" s="26" t="n">
        <f aca="false">(1+$B$12)^A22</f>
        <v>1.01341963787803</v>
      </c>
      <c r="K22" s="27" t="n">
        <f aca="false">H22/J22</f>
        <v>47854.7164781033</v>
      </c>
    </row>
    <row r="23" customFormat="false" ht="15" hidden="false" customHeight="true" outlineLevel="0" collapsed="false">
      <c r="A23" s="5" t="n">
        <v>9</v>
      </c>
      <c r="B23" s="25" t="n">
        <f aca="false">EOMONTH($B$9,8)</f>
        <v>46538</v>
      </c>
      <c r="C23" s="25" t="n">
        <f aca="false">EOMONTH($B$9,9)</f>
        <v>46568</v>
      </c>
      <c r="D23" s="5" t="n">
        <f aca="false">C23-B23</f>
        <v>30</v>
      </c>
      <c r="E23" s="19" t="n">
        <f aca="false">I22</f>
        <v>765007.67187176</v>
      </c>
      <c r="F23" s="19" t="n">
        <f aca="false">E23*$B$6/100*D23/365</f>
        <v>1257.54685787139</v>
      </c>
      <c r="G23" s="19" t="n">
        <f aca="false">H23-F23</f>
        <v>47239.3625861239</v>
      </c>
      <c r="H23" s="19" t="n">
        <f aca="false">IF(9&lt;=$B$8,F23,IF(9=$B$7,E23+F23,$B$11))</f>
        <v>48496.9094439953</v>
      </c>
      <c r="I23" s="19" t="n">
        <f aca="false">E23-G23</f>
        <v>717768.309285636</v>
      </c>
      <c r="J23" s="26" t="n">
        <f aca="false">(1+$B$12)^A23</f>
        <v>1.01510970570571</v>
      </c>
      <c r="K23" s="27" t="n">
        <f aca="false">H23/J23</f>
        <v>47775.0426100791</v>
      </c>
    </row>
    <row r="24" customFormat="false" ht="15" hidden="false" customHeight="true" outlineLevel="0" collapsed="false">
      <c r="A24" s="5" t="n">
        <v>10</v>
      </c>
      <c r="B24" s="25" t="n">
        <f aca="false">EOMONTH($B$9,9)</f>
        <v>46568</v>
      </c>
      <c r="C24" s="25" t="n">
        <f aca="false">EOMONTH($B$9,10)</f>
        <v>46599</v>
      </c>
      <c r="D24" s="5" t="n">
        <f aca="false">C24-B24</f>
        <v>31</v>
      </c>
      <c r="E24" s="19" t="n">
        <f aca="false">I23</f>
        <v>717768.309285636</v>
      </c>
      <c r="F24" s="19" t="n">
        <f aca="false">E24*$B$6/100*D24/365</f>
        <v>1219.22288152629</v>
      </c>
      <c r="G24" s="19" t="n">
        <f aca="false">H24-F24</f>
        <v>47277.686562469</v>
      </c>
      <c r="H24" s="19" t="n">
        <f aca="false">IF(10&lt;=$B$8,F24,IF(10=$B$7,E24+F24,$B$11))</f>
        <v>48496.9094439953</v>
      </c>
      <c r="I24" s="19" t="n">
        <f aca="false">E24-G24</f>
        <v>670490.622723167</v>
      </c>
      <c r="J24" s="26" t="n">
        <f aca="false">(1+$B$12)^A24</f>
        <v>1.01680259203933</v>
      </c>
      <c r="K24" s="27" t="n">
        <f aca="false">H24/J24</f>
        <v>47695.5013919943</v>
      </c>
    </row>
    <row r="25" customFormat="false" ht="15" hidden="false" customHeight="true" outlineLevel="0" collapsed="false">
      <c r="A25" s="5" t="n">
        <v>11</v>
      </c>
      <c r="B25" s="25" t="n">
        <f aca="false">EOMONTH($B$9,10)</f>
        <v>46599</v>
      </c>
      <c r="C25" s="25" t="n">
        <f aca="false">EOMONTH($B$9,11)</f>
        <v>46630</v>
      </c>
      <c r="D25" s="5" t="n">
        <f aca="false">C25-B25</f>
        <v>31</v>
      </c>
      <c r="E25" s="19" t="n">
        <f aca="false">I24</f>
        <v>670490.622723167</v>
      </c>
      <c r="F25" s="19" t="n">
        <f aca="false">E25*$B$6/100*D25/365</f>
        <v>1138.91557832428</v>
      </c>
      <c r="G25" s="19" t="n">
        <f aca="false">H25-F25</f>
        <v>47357.993865671</v>
      </c>
      <c r="H25" s="19" t="n">
        <f aca="false">IF(11&lt;=$B$8,F25,IF(11=$B$7,E25+F25,$B$11))</f>
        <v>48496.9094439953</v>
      </c>
      <c r="I25" s="19" t="n">
        <f aca="false">E25-G25</f>
        <v>623132.628857496</v>
      </c>
      <c r="J25" s="26" t="n">
        <f aca="false">(1+$B$12)^A25</f>
        <v>1.01849830157927</v>
      </c>
      <c r="K25" s="27" t="n">
        <f aca="false">H25/J25</f>
        <v>47616.0926029987</v>
      </c>
    </row>
    <row r="26" customFormat="false" ht="15" hidden="false" customHeight="true" outlineLevel="0" collapsed="false">
      <c r="A26" s="5" t="n">
        <v>12</v>
      </c>
      <c r="B26" s="25" t="n">
        <f aca="false">EOMONTH($B$9,11)</f>
        <v>46630</v>
      </c>
      <c r="C26" s="25" t="n">
        <f aca="false">EOMONTH($B$9,12)</f>
        <v>46660</v>
      </c>
      <c r="D26" s="5" t="n">
        <f aca="false">C26-B26</f>
        <v>30</v>
      </c>
      <c r="E26" s="19" t="n">
        <f aca="false">I25</f>
        <v>623132.628857496</v>
      </c>
      <c r="F26" s="19" t="n">
        <f aca="false">E26*$B$6/100*D26/365</f>
        <v>1024.32760908082</v>
      </c>
      <c r="G26" s="19" t="n">
        <f aca="false">H26-F26</f>
        <v>47472.5818349145</v>
      </c>
      <c r="H26" s="19" t="n">
        <f aca="false">IF(12&lt;=$B$8,F26,IF(12=$B$7,E26+F26,$B$11))</f>
        <v>48496.9094439953</v>
      </c>
      <c r="I26" s="19" t="n">
        <f aca="false">E26-G26</f>
        <v>575660.047022582</v>
      </c>
      <c r="J26" s="26" t="n">
        <f aca="false">(1+$B$12)^A26</f>
        <v>1.02019683903376</v>
      </c>
      <c r="K26" s="27" t="n">
        <f aca="false">H26/J26</f>
        <v>47536.8160226094</v>
      </c>
    </row>
    <row r="27" customFormat="false" ht="15" hidden="false" customHeight="true" outlineLevel="0" collapsed="false">
      <c r="A27" s="5" t="n">
        <v>13</v>
      </c>
      <c r="B27" s="25" t="n">
        <f aca="false">EOMONTH($B$9,12)</f>
        <v>46660</v>
      </c>
      <c r="C27" s="25" t="n">
        <f aca="false">EOMONTH($B$9,13)</f>
        <v>46691</v>
      </c>
      <c r="D27" s="5" t="n">
        <f aca="false">C27-B27</f>
        <v>31</v>
      </c>
      <c r="E27" s="19" t="n">
        <f aca="false">I26</f>
        <v>575660.047022582</v>
      </c>
      <c r="F27" s="19" t="n">
        <f aca="false">E27*$B$6/100*D27/365</f>
        <v>977.833504531508</v>
      </c>
      <c r="G27" s="19" t="n">
        <f aca="false">H27-F27</f>
        <v>47519.0759394638</v>
      </c>
      <c r="H27" s="19" t="n">
        <f aca="false">IF(13&lt;=$B$8,F27,IF(13=$B$7,E27+F27,$B$11))</f>
        <v>48496.9094439953</v>
      </c>
      <c r="I27" s="19" t="n">
        <f aca="false">E27-G27</f>
        <v>528140.971083118</v>
      </c>
      <c r="J27" s="26" t="n">
        <f aca="false">(1+$B$12)^A27</f>
        <v>1.02189820911887</v>
      </c>
      <c r="K27" s="27" t="n">
        <f aca="false">H27/J27</f>
        <v>47457.6714307109</v>
      </c>
    </row>
    <row r="28" customFormat="false" ht="15" hidden="false" customHeight="true" outlineLevel="0" collapsed="false">
      <c r="A28" s="5" t="n">
        <v>14</v>
      </c>
      <c r="B28" s="25" t="n">
        <f aca="false">EOMONTH($B$9,13)</f>
        <v>46691</v>
      </c>
      <c r="C28" s="25" t="n">
        <f aca="false">EOMONTH($B$9,14)</f>
        <v>46721</v>
      </c>
      <c r="D28" s="5" t="n">
        <f aca="false">C28-B28</f>
        <v>30</v>
      </c>
      <c r="E28" s="19" t="n">
        <f aca="false">I27</f>
        <v>528140.971083118</v>
      </c>
      <c r="F28" s="19" t="n">
        <f aca="false">E28*$B$6/100*D28/365</f>
        <v>868.176938766769</v>
      </c>
      <c r="G28" s="19" t="n">
        <f aca="false">H28-F28</f>
        <v>47628.7325052285</v>
      </c>
      <c r="H28" s="19" t="n">
        <f aca="false">IF(14&lt;=$B$8,F28,IF(14=$B$7,E28+F28,$B$11))</f>
        <v>48496.9094439953</v>
      </c>
      <c r="I28" s="19" t="n">
        <f aca="false">E28-G28</f>
        <v>480512.238577889</v>
      </c>
      <c r="J28" s="26" t="n">
        <f aca="false">(1+$B$12)^A28</f>
        <v>1.02360241655856</v>
      </c>
      <c r="K28" s="27" t="n">
        <f aca="false">H28/J28</f>
        <v>47378.658607554</v>
      </c>
    </row>
    <row r="29" customFormat="false" ht="15" hidden="false" customHeight="true" outlineLevel="0" collapsed="false">
      <c r="A29" s="5" t="n">
        <v>15</v>
      </c>
      <c r="B29" s="25" t="n">
        <f aca="false">EOMONTH($B$9,14)</f>
        <v>46721</v>
      </c>
      <c r="C29" s="25" t="n">
        <f aca="false">EOMONTH($B$9,15)</f>
        <v>46752</v>
      </c>
      <c r="D29" s="5" t="n">
        <f aca="false">C29-B29</f>
        <v>31</v>
      </c>
      <c r="E29" s="19" t="n">
        <f aca="false">I28</f>
        <v>480512.238577889</v>
      </c>
      <c r="F29" s="19" t="n">
        <f aca="false">E29*$B$6/100*D29/365</f>
        <v>816.212569639154</v>
      </c>
      <c r="G29" s="19" t="n">
        <f aca="false">H29-F29</f>
        <v>47680.6968743562</v>
      </c>
      <c r="H29" s="19" t="n">
        <f aca="false">IF(15&lt;=$B$8,F29,IF(15=$B$7,E29+F29,$B$11))</f>
        <v>48496.9094439953</v>
      </c>
      <c r="I29" s="19" t="n">
        <f aca="false">E29-G29</f>
        <v>432831.541703533</v>
      </c>
      <c r="J29" s="26" t="n">
        <f aca="false">(1+$B$12)^A29</f>
        <v>1.02530946608465</v>
      </c>
      <c r="K29" s="27" t="n">
        <f aca="false">H29/J29</f>
        <v>47299.7773337553</v>
      </c>
    </row>
    <row r="30" customFormat="false" ht="15" hidden="false" customHeight="true" outlineLevel="0" collapsed="false">
      <c r="A30" s="5" t="n">
        <v>16</v>
      </c>
      <c r="B30" s="25" t="n">
        <f aca="false">EOMONTH($B$9,15)</f>
        <v>46752</v>
      </c>
      <c r="C30" s="25" t="n">
        <f aca="false">EOMONTH($B$9,16)</f>
        <v>46783</v>
      </c>
      <c r="D30" s="5" t="n">
        <f aca="false">C30-B30</f>
        <v>31</v>
      </c>
      <c r="E30" s="19" t="n">
        <f aca="false">I29</f>
        <v>432831.541703533</v>
      </c>
      <c r="F30" s="19" t="n">
        <f aca="false">E30*$B$6/100*D30/365</f>
        <v>735.220700975864</v>
      </c>
      <c r="G30" s="19" t="n">
        <f aca="false">H30-F30</f>
        <v>47761.6887430195</v>
      </c>
      <c r="H30" s="19" t="n">
        <f aca="false">IF(16&lt;=$B$8,F30,IF(16=$B$7,E30+F30,$B$11))</f>
        <v>48496.9094439953</v>
      </c>
      <c r="I30" s="19" t="n">
        <f aca="false">E30-G30</f>
        <v>385069.852960514</v>
      </c>
      <c r="J30" s="26" t="n">
        <f aca="false">(1+$B$12)^A30</f>
        <v>1.02701936243684</v>
      </c>
      <c r="K30" s="27" t="n">
        <f aca="false">H30/J30</f>
        <v>47221.027390297</v>
      </c>
    </row>
    <row r="31" customFormat="false" ht="15" hidden="false" customHeight="true" outlineLevel="0" collapsed="false">
      <c r="A31" s="5" t="n">
        <v>17</v>
      </c>
      <c r="B31" s="25" t="n">
        <f aca="false">EOMONTH($B$9,16)</f>
        <v>46783</v>
      </c>
      <c r="C31" s="25" t="n">
        <f aca="false">EOMONTH($B$9,17)</f>
        <v>46812</v>
      </c>
      <c r="D31" s="5" t="n">
        <f aca="false">C31-B31</f>
        <v>29</v>
      </c>
      <c r="E31" s="19" t="n">
        <f aca="false">I30</f>
        <v>385069.852960514</v>
      </c>
      <c r="F31" s="19" t="n">
        <f aca="false">E31*$B$6/100*D31/365</f>
        <v>611.891821142734</v>
      </c>
      <c r="G31" s="19" t="n">
        <f aca="false">H31-F31</f>
        <v>47885.0176228526</v>
      </c>
      <c r="H31" s="19" t="n">
        <f aca="false">IF(17&lt;=$B$8,F31,IF(17=$B$7,E31+F31,$B$11))</f>
        <v>48496.9094439953</v>
      </c>
      <c r="I31" s="19" t="n">
        <f aca="false">E31-G31</f>
        <v>337184.835337661</v>
      </c>
      <c r="J31" s="26" t="n">
        <f aca="false">(1+$B$12)^A31</f>
        <v>1.02873211036276</v>
      </c>
      <c r="K31" s="27" t="n">
        <f aca="false">H31/J31</f>
        <v>47142.4085585255</v>
      </c>
    </row>
    <row r="32" customFormat="false" ht="15" hidden="false" customHeight="true" outlineLevel="0" collapsed="false">
      <c r="A32" s="5" t="n">
        <v>18</v>
      </c>
      <c r="B32" s="25" t="n">
        <f aca="false">EOMONTH($B$9,17)</f>
        <v>46812</v>
      </c>
      <c r="C32" s="25" t="n">
        <f aca="false">EOMONTH($B$9,18)</f>
        <v>46843</v>
      </c>
      <c r="D32" s="5" t="n">
        <f aca="false">C32-B32</f>
        <v>31</v>
      </c>
      <c r="E32" s="19" t="n">
        <f aca="false">I31</f>
        <v>337184.835337661</v>
      </c>
      <c r="F32" s="19" t="n">
        <f aca="false">E32*$B$6/100*D32/365</f>
        <v>572.752323039315</v>
      </c>
      <c r="G32" s="19" t="n">
        <f aca="false">H32-F32</f>
        <v>47924.157120956</v>
      </c>
      <c r="H32" s="19" t="n">
        <f aca="false">IF(18&lt;=$B$8,F32,IF(18=$B$7,E32+F32,$B$11))</f>
        <v>48496.9094439953</v>
      </c>
      <c r="I32" s="19" t="n">
        <f aca="false">E32-G32</f>
        <v>289260.678216705</v>
      </c>
      <c r="J32" s="26" t="n">
        <f aca="false">(1+$B$12)^A32</f>
        <v>1.03044771461794</v>
      </c>
      <c r="K32" s="27" t="n">
        <f aca="false">H32/J32</f>
        <v>47063.9206201515</v>
      </c>
    </row>
    <row r="33" customFormat="false" ht="15" hidden="false" customHeight="true" outlineLevel="0" collapsed="false">
      <c r="A33" s="5" t="n">
        <v>19</v>
      </c>
      <c r="B33" s="25" t="n">
        <f aca="false">EOMONTH($B$9,18)</f>
        <v>46843</v>
      </c>
      <c r="C33" s="25" t="n">
        <f aca="false">EOMONTH($B$9,19)</f>
        <v>46873</v>
      </c>
      <c r="D33" s="5" t="n">
        <f aca="false">C33-B33</f>
        <v>30</v>
      </c>
      <c r="E33" s="19" t="n">
        <f aca="false">I32</f>
        <v>289260.678216705</v>
      </c>
      <c r="F33" s="19" t="n">
        <f aca="false">E33*$B$6/100*D33/365</f>
        <v>475.497005287734</v>
      </c>
      <c r="G33" s="19" t="n">
        <f aca="false">H33-F33</f>
        <v>48021.4124387076</v>
      </c>
      <c r="H33" s="19" t="n">
        <f aca="false">IF(19&lt;=$B$8,F33,IF(19=$B$7,E33+F33,$B$11))</f>
        <v>48496.9094439953</v>
      </c>
      <c r="I33" s="19" t="n">
        <f aca="false">E33-G33</f>
        <v>241239.265777997</v>
      </c>
      <c r="J33" s="26" t="n">
        <f aca="false">(1+$B$12)^A33</f>
        <v>1.03216617996585</v>
      </c>
      <c r="K33" s="27" t="n">
        <f aca="false">H33/J33</f>
        <v>46985.5633572491</v>
      </c>
    </row>
    <row r="34" customFormat="false" ht="15" hidden="false" customHeight="true" outlineLevel="0" collapsed="false">
      <c r="A34" s="5" t="n">
        <v>20</v>
      </c>
      <c r="B34" s="25" t="n">
        <f aca="false">EOMONTH($B$9,19)</f>
        <v>46873</v>
      </c>
      <c r="C34" s="25" t="n">
        <f aca="false">EOMONTH($B$9,20)</f>
        <v>46904</v>
      </c>
      <c r="D34" s="5" t="n">
        <f aca="false">C34-B34</f>
        <v>31</v>
      </c>
      <c r="E34" s="19" t="n">
        <f aca="false">I33</f>
        <v>241239.265777997</v>
      </c>
      <c r="F34" s="19" t="n">
        <f aca="false">E34*$B$6/100*D34/365</f>
        <v>409.776287074955</v>
      </c>
      <c r="G34" s="19" t="n">
        <f aca="false">H34-F34</f>
        <v>48087.1331569204</v>
      </c>
      <c r="H34" s="19" t="n">
        <f aca="false">IF(20&lt;=$B$8,F34,IF(20=$B$7,E34+F34,$B$11))</f>
        <v>48496.9094439953</v>
      </c>
      <c r="I34" s="19" t="n">
        <f aca="false">E34-G34</f>
        <v>193152.132621077</v>
      </c>
      <c r="J34" s="26" t="n">
        <f aca="false">(1+$B$12)^A34</f>
        <v>1.0338875111779</v>
      </c>
      <c r="K34" s="27" t="n">
        <f aca="false">H34/J34</f>
        <v>46907.3365522552</v>
      </c>
    </row>
    <row r="35" customFormat="false" ht="15" hidden="false" customHeight="true" outlineLevel="0" collapsed="false">
      <c r="A35" s="5" t="n">
        <v>21</v>
      </c>
      <c r="B35" s="25" t="n">
        <f aca="false">EOMONTH($B$9,20)</f>
        <v>46904</v>
      </c>
      <c r="C35" s="25" t="n">
        <f aca="false">EOMONTH($B$9,21)</f>
        <v>46934</v>
      </c>
      <c r="D35" s="5" t="n">
        <f aca="false">C35-B35</f>
        <v>30</v>
      </c>
      <c r="E35" s="19" t="n">
        <f aca="false">I34</f>
        <v>193152.132621077</v>
      </c>
      <c r="F35" s="19" t="n">
        <f aca="false">E35*$B$6/100*D35/365</f>
        <v>317.510354993551</v>
      </c>
      <c r="G35" s="19" t="n">
        <f aca="false">H35-F35</f>
        <v>48179.3990890018</v>
      </c>
      <c r="H35" s="19" t="n">
        <f aca="false">IF(21&lt;=$B$8,F35,IF(21=$B$7,E35+F35,$B$11))</f>
        <v>48496.9094439953</v>
      </c>
      <c r="I35" s="19" t="n">
        <f aca="false">E35-G35</f>
        <v>144972.733532075</v>
      </c>
      <c r="J35" s="26" t="n">
        <f aca="false">(1+$B$12)^A35</f>
        <v>1.03561171303346</v>
      </c>
      <c r="K35" s="27" t="n">
        <f aca="false">H35/J35</f>
        <v>46829.239987969</v>
      </c>
    </row>
    <row r="36" customFormat="false" ht="15" hidden="false" customHeight="true" outlineLevel="0" collapsed="false">
      <c r="A36" s="5" t="n">
        <v>22</v>
      </c>
      <c r="B36" s="25" t="n">
        <f aca="false">EOMONTH($B$9,21)</f>
        <v>46934</v>
      </c>
      <c r="C36" s="25" t="n">
        <f aca="false">EOMONTH($B$9,22)</f>
        <v>46965</v>
      </c>
      <c r="D36" s="5" t="n">
        <f aca="false">C36-B36</f>
        <v>31</v>
      </c>
      <c r="E36" s="19" t="n">
        <f aca="false">I35</f>
        <v>144972.733532075</v>
      </c>
      <c r="F36" s="19" t="n">
        <f aca="false">E36*$B$6/100*D36/365</f>
        <v>246.255054218868</v>
      </c>
      <c r="G36" s="19" t="n">
        <f aca="false">H36-F36</f>
        <v>48250.6543897764</v>
      </c>
      <c r="H36" s="19" t="n">
        <f aca="false">IF(22&lt;=$B$8,F36,IF(22=$B$7,E36+F36,$B$11))</f>
        <v>48496.9094439953</v>
      </c>
      <c r="I36" s="19" t="n">
        <f aca="false">E36-G36</f>
        <v>96722.0791422989</v>
      </c>
      <c r="J36" s="26" t="n">
        <f aca="false">(1+$B$12)^A36</f>
        <v>1.03733879031985</v>
      </c>
      <c r="K36" s="27" t="n">
        <f aca="false">H36/J36</f>
        <v>46751.273447551</v>
      </c>
    </row>
    <row r="37" customFormat="false" ht="15" hidden="false" customHeight="true" outlineLevel="0" collapsed="false">
      <c r="A37" s="5" t="n">
        <v>23</v>
      </c>
      <c r="B37" s="25" t="n">
        <f aca="false">EOMONTH($B$9,22)</f>
        <v>46965</v>
      </c>
      <c r="C37" s="25" t="n">
        <f aca="false">EOMONTH($B$9,23)</f>
        <v>46996</v>
      </c>
      <c r="D37" s="5" t="n">
        <f aca="false">C37-B37</f>
        <v>31</v>
      </c>
      <c r="E37" s="19" t="n">
        <f aca="false">I36</f>
        <v>96722.0791422989</v>
      </c>
      <c r="F37" s="19" t="n">
        <f aca="false">E37*$B$6/100*D37/365</f>
        <v>164.295038543083</v>
      </c>
      <c r="G37" s="19" t="n">
        <f aca="false">H37-F37</f>
        <v>48332.6144054522</v>
      </c>
      <c r="H37" s="19" t="n">
        <f aca="false">IF(23&lt;=$B$8,F37,IF(23=$B$7,E37+F37,$B$11))</f>
        <v>48496.9094439953</v>
      </c>
      <c r="I37" s="19" t="n">
        <f aca="false">E37-G37</f>
        <v>48389.4647368466</v>
      </c>
      <c r="J37" s="26" t="n">
        <f aca="false">(1+$B$12)^A37</f>
        <v>1.03906874783242</v>
      </c>
      <c r="K37" s="27" t="n">
        <f aca="false">H37/J37</f>
        <v>46673.4367145233</v>
      </c>
    </row>
    <row r="38" customFormat="false" ht="15" hidden="false" customHeight="true" outlineLevel="0" collapsed="false">
      <c r="A38" s="5" t="n">
        <v>24</v>
      </c>
      <c r="B38" s="25" t="n">
        <f aca="false">EOMONTH($B$9,23)</f>
        <v>46996</v>
      </c>
      <c r="C38" s="25" t="n">
        <f aca="false">EOMONTH($B$9,24)</f>
        <v>47026</v>
      </c>
      <c r="D38" s="5" t="n">
        <f aca="false">C38-B38</f>
        <v>30</v>
      </c>
      <c r="E38" s="19" t="n">
        <f aca="false">I37</f>
        <v>48389.4647368466</v>
      </c>
      <c r="F38" s="19" t="n">
        <f aca="false">E38*$B$6/100*D38/365</f>
        <v>79.5443255948164</v>
      </c>
      <c r="G38" s="19" t="n">
        <f aca="false">H38-F38</f>
        <v>48389.4647368466</v>
      </c>
      <c r="H38" s="19" t="n">
        <f aca="false">IF(24&lt;=$B$8,F38,IF(24=$B$7,E38+F38,$B$11))</f>
        <v>48469.0090624415</v>
      </c>
      <c r="I38" s="19" t="n">
        <f aca="false">E38-G38</f>
        <v>0</v>
      </c>
      <c r="J38" s="26" t="n">
        <f aca="false">(1+$B$12)^A38</f>
        <v>1.04080159037447</v>
      </c>
      <c r="K38" s="27" t="n">
        <f aca="false">H38/J38</f>
        <v>46568.9229442885</v>
      </c>
    </row>
    <row r="39" customFormat="false" ht="15" hidden="false" customHeight="false" outlineLevel="0" collapsed="false">
      <c r="I39" s="28" t="s">
        <v>47</v>
      </c>
      <c r="K39" s="14" t="n">
        <f aca="false">SUM(K14:K38)</f>
        <v>1.01795194495935E-009</v>
      </c>
    </row>
    <row r="40" customFormat="false" ht="15" hidden="false" customHeight="true" outlineLevel="0" collapsed="false">
      <c r="A40" s="13" t="s">
        <v>48</v>
      </c>
      <c r="B40" s="13"/>
      <c r="C40" s="13"/>
      <c r="D40" s="13"/>
      <c r="E40" s="29" t="n">
        <f aca="false">ROUND(IRR(H14:H38,$B$6/100/12)*100,4)</f>
        <v>0.1668</v>
      </c>
      <c r="I40" s="30" t="s">
        <v>49</v>
      </c>
    </row>
    <row r="41" customFormat="false" ht="15" hidden="false" customHeight="true" outlineLevel="0" collapsed="false">
      <c r="A41" s="5" t="s">
        <v>50</v>
      </c>
      <c r="B41" s="5"/>
      <c r="C41" s="5"/>
      <c r="D41" s="5"/>
      <c r="E41" s="31" t="n">
        <v>0.1668</v>
      </c>
    </row>
    <row r="42" customFormat="false" ht="15" hidden="false" customHeight="true" outlineLevel="0" collapsed="false">
      <c r="A42" s="13" t="s">
        <v>19</v>
      </c>
      <c r="B42" s="13"/>
      <c r="C42" s="13"/>
      <c r="D42" s="13"/>
      <c r="E42" s="16" t="str">
        <f aca="false">IF(ABS(E40-E41)&lt;0.0001,"PASS ✓","FAIL ✗")</f>
        <v>PASS ✓</v>
      </c>
    </row>
    <row r="44" customFormat="false" ht="11.25" hidden="false" customHeight="true" outlineLevel="0" collapsed="false">
      <c r="A44" s="17" t="s">
        <v>51</v>
      </c>
      <c r="B44" s="17"/>
      <c r="C44" s="17"/>
      <c r="D44" s="17"/>
      <c r="E44" s="17"/>
      <c r="F44" s="17"/>
      <c r="G44" s="17"/>
      <c r="H44" s="17"/>
      <c r="I44" s="17"/>
    </row>
  </sheetData>
  <mergeCells count="7">
    <mergeCell ref="A1:G1"/>
    <mergeCell ref="A2:G2"/>
    <mergeCell ref="A4:B4"/>
    <mergeCell ref="A40:D40"/>
    <mergeCell ref="A41:D41"/>
    <mergeCell ref="A42:D42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2026-09-28T10:56:30Z</dcterms:created>
  <dc:creator>openpyxl</dc:creator>
  <dc:description/>
  <dc:language>en-US</dc:language>
  <cp:lastModifiedBy/>
  <dcterms:modified xsi:type="dcterms:W3CDTF">2026-09-28T11:34:40Z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