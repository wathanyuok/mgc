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 Prepaid F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0000"/>
  </numFmts>
  <fonts count="6">
    <font>
      <name val="Calibri"/>
      <family val="2"/>
      <color theme="1"/>
      <sz val="11"/>
      <scheme val="minor"/>
    </font>
    <font>
      <b val="1"/>
    </font>
    <font>
      <sz val="9"/>
    </font>
    <font>
      <b val="1"/>
      <sz val="12"/>
    </font>
    <font>
      <b val="1"/>
      <color rgb="00FFFFFF"/>
      <sz val="10"/>
    </font>
    <font>
      <color rgb="001565C0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4" fontId="0" fillId="2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/>
    </xf>
    <xf numFmtId="165" fontId="0" fillId="2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5" fillId="0" borderId="1" pivotButton="0" quotePrefix="0" xfId="0"/>
    <xf numFmtId="1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7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30" customWidth="1" min="12" max="12"/>
    <col width="15" customWidth="1" min="13" max="13"/>
  </cols>
  <sheetData>
    <row r="1">
      <c r="A1" s="1" t="inlineStr">
        <is>
          <t>LG Prepaid Fee — Schedule Calculate (ตัดบัญชี Prepaid รายเดือนตามอายุ B/G–L/G)</t>
        </is>
      </c>
      <c r="L1" s="2" t="inlineStr">
        <is>
          <t>INPUT</t>
        </is>
      </c>
    </row>
    <row r="2">
      <c r="L2" s="2" t="inlineStr">
        <is>
          <t>Fee Total (ค่าธรรมเนียม)</t>
        </is>
      </c>
      <c r="M2" s="3" t="n">
        <v>30000</v>
      </c>
    </row>
    <row r="3">
      <c r="A3" s="4" t="inlineStr">
        <is>
          <t>PERIOD</t>
        </is>
      </c>
      <c r="B3" s="5" t="inlineStr">
        <is>
          <t>PAYMENT DATE</t>
        </is>
      </c>
      <c r="C3" s="5" t="inlineStr">
        <is>
          <t>AMORTIZE START DATE</t>
        </is>
      </c>
      <c r="D3" s="5" t="inlineStr">
        <is>
          <t>AMORTIZE END DATE</t>
        </is>
      </c>
      <c r="E3" s="4" t="inlineStr">
        <is>
          <t>DAY</t>
        </is>
      </c>
      <c r="F3" s="4" t="inlineStr">
        <is>
          <t>FEE RATE</t>
        </is>
      </c>
      <c r="G3" s="6" t="inlineStr">
        <is>
          <t>FEE AMOUNT</t>
        </is>
      </c>
      <c r="H3" s="6" t="inlineStr">
        <is>
          <t>GUARANTEE AMOUNT</t>
        </is>
      </c>
      <c r="I3" s="6" t="inlineStr">
        <is>
          <t>REMAINING</t>
        </is>
      </c>
      <c r="J3" s="5" t="inlineStr">
        <is>
          <t>JE</t>
        </is>
      </c>
      <c r="L3" s="2" t="inlineStr">
        <is>
          <t>Issue Date (วันออก)</t>
        </is>
      </c>
      <c r="M3" s="7" t="n">
        <v>46266</v>
      </c>
    </row>
    <row r="4">
      <c r="A4" s="8" t="n">
        <v>0</v>
      </c>
      <c r="B4" s="9">
        <f>$M$3</f>
        <v/>
      </c>
      <c r="C4" s="10" t="inlineStr">
        <is>
          <t>—</t>
        </is>
      </c>
      <c r="D4" s="10" t="inlineStr">
        <is>
          <t>—</t>
        </is>
      </c>
      <c r="E4" s="8" t="inlineStr">
        <is>
          <t>—</t>
        </is>
      </c>
      <c r="F4" s="11" t="n">
        <v>0</v>
      </c>
      <c r="G4" s="12">
        <f>$M$2</f>
        <v/>
      </c>
      <c r="H4" s="12">
        <f>$M$5</f>
        <v/>
      </c>
      <c r="I4" s="12">
        <f>$M$2</f>
        <v/>
      </c>
      <c r="J4" s="10" t="inlineStr">
        <is>
          <t>—</t>
        </is>
      </c>
      <c r="L4" s="2" t="inlineStr">
        <is>
          <t>Expiry Date (วันหมดอายุ)</t>
        </is>
      </c>
      <c r="M4" s="7" t="n">
        <v>46630</v>
      </c>
    </row>
    <row r="5">
      <c r="A5" s="8" t="n">
        <v>1</v>
      </c>
      <c r="B5" s="10" t="inlineStr">
        <is>
          <t>—</t>
        </is>
      </c>
      <c r="C5" s="9">
        <f>$M$3</f>
        <v/>
      </c>
      <c r="D5" s="9">
        <f>EOMONTH(C5,0)</f>
        <v/>
      </c>
      <c r="E5" s="8">
        <f>D5-C5</f>
        <v/>
      </c>
      <c r="F5" s="11" t="n">
        <v>0</v>
      </c>
      <c r="G5" s="12">
        <f>ROUND($M$7*E5,2)</f>
        <v/>
      </c>
      <c r="H5" s="12">
        <f>$M$5</f>
        <v/>
      </c>
      <c r="I5" s="12">
        <f>MAX(0,I4-G5)</f>
        <v/>
      </c>
      <c r="J5" s="13" t="inlineStr">
        <is>
          <t>ลงบัญชีงวดนี้</t>
        </is>
      </c>
      <c r="L5" s="2" t="inlineStr">
        <is>
          <t>Guarantee Amount</t>
        </is>
      </c>
      <c r="M5" s="3" t="n">
        <v>2000000</v>
      </c>
    </row>
    <row r="6">
      <c r="A6" s="8" t="n">
        <v>2</v>
      </c>
      <c r="B6" s="10" t="inlineStr">
        <is>
          <t>—</t>
        </is>
      </c>
      <c r="C6" s="9">
        <f>EOMONTH(C5,0)+1</f>
        <v/>
      </c>
      <c r="D6" s="9">
        <f>EOMONTH(C6,0)</f>
        <v/>
      </c>
      <c r="E6" s="8">
        <f>D6-C6+1</f>
        <v/>
      </c>
      <c r="F6" s="11" t="n">
        <v>0</v>
      </c>
      <c r="G6" s="12">
        <f>ROUND($M$7*E6,2)</f>
        <v/>
      </c>
      <c r="H6" s="12">
        <f>$M$5</f>
        <v/>
      </c>
      <c r="I6" s="12">
        <f>MAX(0,I5-G6)</f>
        <v/>
      </c>
      <c r="J6" s="13" t="inlineStr">
        <is>
          <t>ลงบัญชีงวดนี้</t>
        </is>
      </c>
      <c r="L6" s="2" t="inlineStr">
        <is>
          <t>Total Days = Expiry − Issue</t>
        </is>
      </c>
      <c r="M6" s="14">
        <f>M4-M3</f>
        <v/>
      </c>
    </row>
    <row r="7">
      <c r="A7" s="8" t="n">
        <v>3</v>
      </c>
      <c r="B7" s="10" t="inlineStr">
        <is>
          <t>—</t>
        </is>
      </c>
      <c r="C7" s="9">
        <f>EOMONTH(C6,0)+1</f>
        <v/>
      </c>
      <c r="D7" s="9">
        <f>EOMONTH(C7,0)</f>
        <v/>
      </c>
      <c r="E7" s="8">
        <f>D7-C7+1</f>
        <v/>
      </c>
      <c r="F7" s="11" t="n">
        <v>0</v>
      </c>
      <c r="G7" s="12">
        <f>ROUND($M$7*E7,2)</f>
        <v/>
      </c>
      <c r="H7" s="12">
        <f>$M$5</f>
        <v/>
      </c>
      <c r="I7" s="12">
        <f>MAX(0,I6-G7)</f>
        <v/>
      </c>
      <c r="J7" s="13" t="inlineStr">
        <is>
          <t>ลงบัญชีงวดนี้</t>
        </is>
      </c>
      <c r="L7" s="2" t="inlineStr">
        <is>
          <t>Daily = Fee Total ÷ Total Days</t>
        </is>
      </c>
      <c r="M7" s="15">
        <f>M2/M6</f>
        <v/>
      </c>
    </row>
    <row r="8">
      <c r="A8" s="8" t="n">
        <v>4</v>
      </c>
      <c r="B8" s="10" t="inlineStr">
        <is>
          <t>—</t>
        </is>
      </c>
      <c r="C8" s="9">
        <f>EOMONTH(C7,0)+1</f>
        <v/>
      </c>
      <c r="D8" s="9">
        <f>EOMONTH(C8,0)</f>
        <v/>
      </c>
      <c r="E8" s="8">
        <f>D8-C8+1</f>
        <v/>
      </c>
      <c r="F8" s="11" t="n">
        <v>0</v>
      </c>
      <c r="G8" s="12">
        <f>ROUND($M$7*E8,2)</f>
        <v/>
      </c>
      <c r="H8" s="12">
        <f>$M$5</f>
        <v/>
      </c>
      <c r="I8" s="12">
        <f>MAX(0,I7-G8)</f>
        <v/>
      </c>
      <c r="J8" s="13" t="inlineStr">
        <is>
          <t>ลงบัญชีงวดนี้</t>
        </is>
      </c>
    </row>
    <row r="9">
      <c r="A9" s="8" t="n">
        <v>5</v>
      </c>
      <c r="B9" s="10" t="inlineStr">
        <is>
          <t>—</t>
        </is>
      </c>
      <c r="C9" s="9">
        <f>EOMONTH(C8,0)+1</f>
        <v/>
      </c>
      <c r="D9" s="9">
        <f>EOMONTH(C9,0)</f>
        <v/>
      </c>
      <c r="E9" s="8">
        <f>D9-C9+1</f>
        <v/>
      </c>
      <c r="F9" s="11" t="n">
        <v>0</v>
      </c>
      <c r="G9" s="12">
        <f>ROUND($M$7*E9,2)</f>
        <v/>
      </c>
      <c r="H9" s="12">
        <f>$M$5</f>
        <v/>
      </c>
      <c r="I9" s="12">
        <f>MAX(0,I8-G9)</f>
        <v/>
      </c>
      <c r="J9" s="13" t="inlineStr">
        <is>
          <t>ลงบัญชีงวดนี้</t>
        </is>
      </c>
    </row>
    <row r="10">
      <c r="A10" s="8" t="n">
        <v>6</v>
      </c>
      <c r="B10" s="10" t="inlineStr">
        <is>
          <t>—</t>
        </is>
      </c>
      <c r="C10" s="9">
        <f>EOMONTH(C9,0)+1</f>
        <v/>
      </c>
      <c r="D10" s="9">
        <f>EOMONTH(C10,0)</f>
        <v/>
      </c>
      <c r="E10" s="8">
        <f>D10-C10+1</f>
        <v/>
      </c>
      <c r="F10" s="11" t="n">
        <v>0</v>
      </c>
      <c r="G10" s="12">
        <f>ROUND($M$7*E10,2)</f>
        <v/>
      </c>
      <c r="H10" s="12">
        <f>$M$5</f>
        <v/>
      </c>
      <c r="I10" s="12">
        <f>MAX(0,I9-G10)</f>
        <v/>
      </c>
      <c r="J10" s="13" t="inlineStr">
        <is>
          <t>ลงบัญชีงวดนี้</t>
        </is>
      </c>
    </row>
    <row r="11">
      <c r="A11" s="8" t="n">
        <v>7</v>
      </c>
      <c r="B11" s="10" t="inlineStr">
        <is>
          <t>—</t>
        </is>
      </c>
      <c r="C11" s="9">
        <f>EOMONTH(C10,0)+1</f>
        <v/>
      </c>
      <c r="D11" s="9">
        <f>EOMONTH(C11,0)</f>
        <v/>
      </c>
      <c r="E11" s="8">
        <f>D11-C11+1</f>
        <v/>
      </c>
      <c r="F11" s="11" t="n">
        <v>0</v>
      </c>
      <c r="G11" s="12">
        <f>ROUND($M$7*E11,2)</f>
        <v/>
      </c>
      <c r="H11" s="12">
        <f>$M$5</f>
        <v/>
      </c>
      <c r="I11" s="12">
        <f>MAX(0,I10-G11)</f>
        <v/>
      </c>
      <c r="J11" s="13" t="inlineStr">
        <is>
          <t>ลงบัญชีงวดนี้</t>
        </is>
      </c>
    </row>
    <row r="12">
      <c r="A12" s="8" t="n">
        <v>8</v>
      </c>
      <c r="B12" s="10" t="inlineStr">
        <is>
          <t>—</t>
        </is>
      </c>
      <c r="C12" s="9">
        <f>EOMONTH(C11,0)+1</f>
        <v/>
      </c>
      <c r="D12" s="9">
        <f>EOMONTH(C12,0)</f>
        <v/>
      </c>
      <c r="E12" s="8">
        <f>D12-C12+1</f>
        <v/>
      </c>
      <c r="F12" s="11" t="n">
        <v>0</v>
      </c>
      <c r="G12" s="12">
        <f>ROUND($M$7*E12,2)</f>
        <v/>
      </c>
      <c r="H12" s="12">
        <f>$M$5</f>
        <v/>
      </c>
      <c r="I12" s="12">
        <f>MAX(0,I11-G12)</f>
        <v/>
      </c>
      <c r="J12" s="13" t="inlineStr">
        <is>
          <t>ลงบัญชีงวดนี้</t>
        </is>
      </c>
    </row>
    <row r="13">
      <c r="A13" s="8" t="n">
        <v>9</v>
      </c>
      <c r="B13" s="10" t="inlineStr">
        <is>
          <t>—</t>
        </is>
      </c>
      <c r="C13" s="9">
        <f>EOMONTH(C12,0)+1</f>
        <v/>
      </c>
      <c r="D13" s="9">
        <f>EOMONTH(C13,0)</f>
        <v/>
      </c>
      <c r="E13" s="8">
        <f>D13-C13+1</f>
        <v/>
      </c>
      <c r="F13" s="11" t="n">
        <v>0</v>
      </c>
      <c r="G13" s="12">
        <f>ROUND($M$7*E13,2)</f>
        <v/>
      </c>
      <c r="H13" s="12">
        <f>$M$5</f>
        <v/>
      </c>
      <c r="I13" s="12">
        <f>MAX(0,I12-G13)</f>
        <v/>
      </c>
      <c r="J13" s="13" t="inlineStr">
        <is>
          <t>ลงบัญชีงวดนี้</t>
        </is>
      </c>
    </row>
    <row r="14">
      <c r="A14" s="8" t="n">
        <v>10</v>
      </c>
      <c r="B14" s="10" t="inlineStr">
        <is>
          <t>—</t>
        </is>
      </c>
      <c r="C14" s="9">
        <f>EOMONTH(C13,0)+1</f>
        <v/>
      </c>
      <c r="D14" s="9">
        <f>EOMONTH(C14,0)</f>
        <v/>
      </c>
      <c r="E14" s="8">
        <f>D14-C14+1</f>
        <v/>
      </c>
      <c r="F14" s="11" t="n">
        <v>0</v>
      </c>
      <c r="G14" s="12">
        <f>ROUND($M$7*E14,2)</f>
        <v/>
      </c>
      <c r="H14" s="12">
        <f>$M$5</f>
        <v/>
      </c>
      <c r="I14" s="12">
        <f>MAX(0,I13-G14)</f>
        <v/>
      </c>
      <c r="J14" s="13" t="inlineStr">
        <is>
          <t>ลงบัญชีงวดนี้</t>
        </is>
      </c>
    </row>
    <row r="15">
      <c r="A15" s="8" t="n">
        <v>11</v>
      </c>
      <c r="B15" s="10" t="inlineStr">
        <is>
          <t>—</t>
        </is>
      </c>
      <c r="C15" s="9">
        <f>EOMONTH(C14,0)+1</f>
        <v/>
      </c>
      <c r="D15" s="9">
        <f>EOMONTH(C15,0)</f>
        <v/>
      </c>
      <c r="E15" s="8">
        <f>D15-C15+1</f>
        <v/>
      </c>
      <c r="F15" s="11" t="n">
        <v>0</v>
      </c>
      <c r="G15" s="12">
        <f>ROUND($M$7*E15,2)</f>
        <v/>
      </c>
      <c r="H15" s="12">
        <f>$M$5</f>
        <v/>
      </c>
      <c r="I15" s="12">
        <f>MAX(0,I14-G15)</f>
        <v/>
      </c>
      <c r="J15" s="13" t="inlineStr">
        <is>
          <t>ลงบัญชีงวดนี้</t>
        </is>
      </c>
    </row>
    <row r="16">
      <c r="A16" s="8" t="n">
        <v>12</v>
      </c>
      <c r="B16" s="10" t="inlineStr">
        <is>
          <t>—</t>
        </is>
      </c>
      <c r="C16" s="9">
        <f>EOMONTH(C15,0)+1</f>
        <v/>
      </c>
      <c r="D16" s="9">
        <f>EOMONTH(C16,0)</f>
        <v/>
      </c>
      <c r="E16" s="8">
        <f>D16-C16+1</f>
        <v/>
      </c>
      <c r="F16" s="11" t="n">
        <v>0</v>
      </c>
      <c r="G16" s="12">
        <f>ROUND($M$7*E16,2)</f>
        <v/>
      </c>
      <c r="H16" s="12">
        <f>$M$5</f>
        <v/>
      </c>
      <c r="I16" s="12">
        <f>MAX(0,I15-G16)</f>
        <v/>
      </c>
      <c r="J16" s="13" t="inlineStr">
        <is>
          <t>ลงบัญชีงวดนี้</t>
        </is>
      </c>
    </row>
    <row r="18">
      <c r="A18" s="16" t="inlineStr">
        <is>
          <t>สูตร (ตรงกับระบบ · Prepaid Mode):</t>
        </is>
      </c>
    </row>
    <row r="19">
      <c r="A19" s="2" t="inlineStr">
        <is>
          <t>• Total Days = Expiry − Issue = 31/08/2027 − 01/09/2026 = 364 วัน</t>
        </is>
      </c>
    </row>
    <row r="20">
      <c r="A20" s="2" t="inlineStr">
        <is>
          <t>• Daily = Fee Total ÷ Total Days = 30,000 ÷ 364 = 82.417582 /วัน</t>
        </is>
      </c>
    </row>
    <row r="21">
      <c r="A21" s="2" t="inlineStr">
        <is>
          <t>• DAY : งวด 1 = End − Start (จากวันออก 01/09 ถึงสิ้นเดือน 30/09 = 29) ; งวด 2 เป็นต้นไป = End − Start + 1 (ทั้งเดือน)</t>
        </is>
      </c>
    </row>
    <row r="22">
      <c r="A22" s="2" t="inlineStr">
        <is>
          <t>• FEE AMOUNT = ROUND(Daily × DAY, 2)</t>
        </is>
      </c>
    </row>
    <row r="23">
      <c r="A23" s="2" t="inlineStr">
        <is>
          <t>• REMAINING = MAX(0, งวดก่อน − FEE AMOUNT)  (งวดสุดท้ายปัดชนขอบ → 0.00)</t>
        </is>
      </c>
    </row>
    <row r="24">
      <c r="A24" s="2" t="inlineStr">
        <is>
          <t>• FEE RATE = 0.00 (โหมดนี้ตัดตาม 'วัน' ไม่ใช่ตามอัตรา)</t>
        </is>
      </c>
    </row>
    <row r="25">
      <c r="A25" s="2" t="inlineStr">
        <is>
          <t>• งวด 0 = การจ่ายค่าธรรมเนียมล่วงหน้าทั้งก้อน (Prepaid) ยังไม่ตัดเป็นค่าใช้จ่าย</t>
        </is>
      </c>
    </row>
    <row r="26">
      <c r="A26" s="2" t="inlineStr">
        <is>
          <t>• ปุ่ม 'ลงบัญชีงวดนี้' = Post JE งวดนั้น: Dr ค่าธรรมเนียมธนาคาร / Cr Prepaid (1191405)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2026-09-29T15:38:38Z</dcterms:created>
  <dcterms:modified xmlns:dcterms="http://purl.org/dc/terms/" xmlns:xsi="http://www.w3.org/2001/XMLSchema-instance" xsi:type="dcterms:W3CDTF">2026-09-29T15:38:38Z</dcterms:modified>
</cp:coreProperties>
</file>