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M Requirements" sheetId="1" state="visible" r:id="rId1"/>
    <sheet xmlns:r="http://schemas.openxmlformats.org/officeDocument/2006/relationships" name="สรุป มีใน BR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'MoM Requirements'!$A$4:$I$79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olor theme="1"/>
      <sz val="11"/>
      <scheme val="minor"/>
    </font>
    <font>
      <name val="Calibri"/>
      <b val="1"/>
      <color rgb="FF1F4E78"/>
      <sz val="12"/>
      <scheme val="minor"/>
    </font>
    <font>
      <name val="Calibri"/>
      <b val="1"/>
      <color rgb="FF1F4E78"/>
      <sz val="14"/>
      <scheme val="minor"/>
    </font>
    <font>
      <name val="Calibri"/>
      <color rgb="FF555555"/>
      <sz val="10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1F4E78"/>
      <sz val="14"/>
    </font>
    <font>
      <color rgb="00555555"/>
      <sz val="11"/>
    </font>
    <font>
      <b val="1"/>
      <color rgb="001F4E78"/>
      <sz val="12"/>
    </font>
    <font>
      <b val="1"/>
      <color rgb="00FFFFFF"/>
      <sz val="11"/>
    </font>
    <font>
      <b val="1"/>
    </font>
    <font>
      <color rgb="00C2410E"/>
      <sz val="10"/>
    </font>
  </fonts>
  <fills count="1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B"/>
        <bgColor rgb="FFEAF2FB"/>
      </patternFill>
    </fill>
    <fill>
      <patternFill patternType="solid">
        <fgColor rgb="FFFDECEA"/>
        <bgColor rgb="FFFDECEA"/>
      </patternFill>
    </fill>
    <fill>
      <patternFill patternType="solid">
        <fgColor rgb="FFFFF3CD"/>
        <bgColor rgb="FFFFF3CD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E7E6E6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6" borderId="2" applyAlignment="1" pivotButton="0" quotePrefix="0" xfId="0">
      <alignment horizontal="center"/>
    </xf>
    <xf numFmtId="0" fontId="0" fillId="7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horizontal="center"/>
    </xf>
    <xf numFmtId="164" fontId="10" fillId="0" borderId="2" applyAlignment="1" pivotButton="0" quotePrefix="0" xfId="0">
      <alignment horizontal="center"/>
    </xf>
    <xf numFmtId="0" fontId="9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7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1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" customWidth="1" style="14" min="1" max="1"/>
    <col width="26" customWidth="1" style="14" min="2" max="2"/>
    <col width="13" customWidth="1" style="14" min="3" max="3"/>
    <col width="78" customWidth="1" style="14" min="4" max="4"/>
    <col width="12" customWidth="1" style="14" min="5" max="5"/>
    <col width="38" customWidth="1" style="14" min="6" max="6"/>
    <col width="13" customWidth="1" style="14" min="7" max="7"/>
    <col width="16" customWidth="1" style="14" min="8" max="8"/>
    <col width="13" customWidth="1" style="14" min="9" max="9"/>
    <col width="8.710000000000001" customWidth="1" style="14" min="10" max="26"/>
  </cols>
  <sheetData>
    <row r="1">
      <c r="A1" s="2" t="inlineStr">
        <is>
          <t>Minutes of Meeting (MoM) — MGC Loan &amp; Leasing</t>
        </is>
      </c>
    </row>
    <row r="2">
      <c r="A2" s="3" t="inlineStr">
        <is>
          <t>Meeting Date: 30 September 2026 (30/09/2569)
Topic: MGC – Loan &amp; Leasing
Objective: Review Prototype, confirm business requirements, identify required enhancements, and define next actions.</t>
        </is>
      </c>
    </row>
    <row r="4">
      <c r="A4" s="4" t="inlineStr">
        <is>
          <t>ลำดับ</t>
        </is>
      </c>
      <c r="B4" s="4" t="inlineStr">
        <is>
          <t>หัวข้อ (Module)</t>
        </is>
      </c>
      <c r="C4" s="4" t="inlineStr">
        <is>
          <t>ประเภท</t>
        </is>
      </c>
      <c r="D4" s="4" t="inlineStr">
        <is>
          <t>รายละเอียด</t>
        </is>
      </c>
      <c r="E4" s="4" t="inlineStr">
        <is>
          <t>มีใน BRD?</t>
        </is>
      </c>
      <c r="F4" s="4" t="inlineStr">
        <is>
          <t>หมายเหตุ</t>
        </is>
      </c>
      <c r="G4" s="4" t="inlineStr">
        <is>
          <t>สถานะ</t>
        </is>
      </c>
      <c r="H4" s="4" t="inlineStr">
        <is>
          <t>ผู้รับผิดชอบ</t>
        </is>
      </c>
      <c r="I4" s="4" t="inlineStr">
        <is>
          <t>กำหนดเสร็จ</t>
        </is>
      </c>
    </row>
    <row r="5" hidden="1" s="14">
      <c r="A5" s="7" t="n">
        <v>1</v>
      </c>
      <c r="B5" s="12" t="inlineStr">
        <is>
          <t>1 Dashboard</t>
        </is>
      </c>
      <c r="C5" s="10" t="inlineStr">
        <is>
          <t>Requirement</t>
        </is>
      </c>
      <c r="D5" s="12" t="inlineStr">
        <is>
          <t>Dashboard ต้องสามารถแสดงภาพรวมวงเงิน และเลือกดูข้อมูลแยกตาม Bank / MA / CA</t>
        </is>
      </c>
      <c r="E5" s="11" t="inlineStr">
        <is>
          <t>มี</t>
        </is>
      </c>
      <c r="F5" s="12" t="inlineStr">
        <is>
          <t>BRD เป็นภาพรวม ถ้าเจาะจงตามที่ต้องการต้องปรับเพิ่มใหม่</t>
        </is>
      </c>
      <c r="G5" s="12" t="n"/>
      <c r="H5" s="12" t="n"/>
      <c r="I5" s="7" t="n"/>
    </row>
    <row r="6" hidden="1" s="14">
      <c r="A6" s="7" t="n">
        <v>2</v>
      </c>
      <c r="B6" s="12" t="inlineStr">
        <is>
          <t>1 Dashboard</t>
        </is>
      </c>
      <c r="C6" s="10" t="inlineStr">
        <is>
          <t>Requirement</t>
        </is>
      </c>
      <c r="D6" s="12" t="inlineStr">
        <is>
          <t>ผู้ใช้งานต้องสามารถดูได้ว่าแต่ละวงเงิน
   •  วงเงินทั้งหมดเท่าไร
   •  ใช้ไปแล้วเท่าไร
   •  คงเหลือเท่าไร
   •  ใช้ไปแล้วคิดเป็นกี่เปอร์เซ็นต์</t>
        </is>
      </c>
      <c r="E6" s="11" t="inlineStr">
        <is>
          <t>มี</t>
        </is>
      </c>
      <c r="F6" s="12" t="inlineStr">
        <is>
          <t>BRD เป็นภาพรวม ถ้าเจาะจงตามที่ต้องการต้องปรับเพิ่มใหม่</t>
        </is>
      </c>
      <c r="G6" s="12" t="n"/>
      <c r="H6" s="12" t="n"/>
      <c r="I6" s="7" t="n"/>
    </row>
    <row r="7" hidden="1" s="14">
      <c r="A7" s="7" t="n">
        <v>3</v>
      </c>
      <c r="B7" s="12" t="inlineStr">
        <is>
          <t>1 Dashboard</t>
        </is>
      </c>
      <c r="C7" s="10" t="inlineStr">
        <is>
          <t>Requirement</t>
        </is>
      </c>
      <c r="D7" s="12" t="inlineStr">
        <is>
          <t>กรณีเป็น Shared Credit Line ต้องสามารถดูการใช้งานของแต่ละบริษัทลูกได้ว่าใช้ไปและคงเหลือเท่าไร</t>
        </is>
      </c>
      <c r="E7" s="11" t="inlineStr">
        <is>
          <t>มี</t>
        </is>
      </c>
      <c r="F7" s="12" t="inlineStr">
        <is>
          <t>BRD เป็นภาพรวม ถ้าเจาะจงตามที่ต้องการต้องปรับเพิ่มใหม่</t>
        </is>
      </c>
      <c r="G7" s="12" t="n"/>
      <c r="H7" s="12" t="n"/>
      <c r="I7" s="7" t="n"/>
    </row>
    <row r="8" hidden="1" s="14">
      <c r="A8" s="7" t="n">
        <v>4</v>
      </c>
      <c r="B8" s="12" t="inlineStr">
        <is>
          <t>1 Dashboard</t>
        </is>
      </c>
      <c r="C8" s="10" t="inlineStr">
        <is>
          <t>Requirement</t>
        </is>
      </c>
      <c r="D8" s="12" t="inlineStr">
        <is>
          <t>ต้องสามารถ Filter และเลือกดูแต่ละวงเงินของธนาคารได้</t>
        </is>
      </c>
      <c r="E8" s="11" t="inlineStr">
        <is>
          <t>ไม่มี</t>
        </is>
      </c>
      <c r="F8" s="12" t="inlineStr">
        <is>
          <t>BRD เป็นภาพรวม ถ้าเจาะจงตามที่ต้องการต้องปรับเพิ่มใหม่</t>
        </is>
      </c>
      <c r="G8" s="12" t="n"/>
      <c r="H8" s="12" t="n"/>
      <c r="I8" s="7" t="n"/>
    </row>
    <row r="9" hidden="1" s="14">
      <c r="A9" s="7" t="n">
        <v>5</v>
      </c>
      <c r="B9" s="12" t="inlineStr">
        <is>
          <t>1 Dashboard</t>
        </is>
      </c>
      <c r="C9" s="10" t="inlineStr">
        <is>
          <t>Requirement</t>
        </is>
      </c>
      <c r="D9" s="12" t="inlineStr">
        <is>
          <t>ต้องการให้สามารถตรวจสอบรายการที่ยังดำเนินการไม่ครบ เช่น
   •  LC ที่ยังไม่มี FX
   •  FX ที่ยังไม่ได้ผูก / Map กับ LC</t>
        </is>
      </c>
      <c r="E9" s="11" t="inlineStr">
        <is>
          <t>มี</t>
        </is>
      </c>
      <c r="F9" s="12" t="inlineStr">
        <is>
          <t>BRD เป็นภาพรวม ถ้าเจาะจงตามที่ต้องการต้องปรับเพิ่มใหม่</t>
        </is>
      </c>
      <c r="G9" s="12" t="n"/>
      <c r="H9" s="12" t="n"/>
      <c r="I9" s="7" t="n"/>
    </row>
    <row r="10" hidden="1" s="14">
      <c r="A10" s="7" t="n">
        <v>6</v>
      </c>
      <c r="B10" s="12" t="inlineStr">
        <is>
          <t>2 Master Agreement (MA)</t>
        </is>
      </c>
      <c r="C10" s="10" t="inlineStr">
        <is>
          <t>Requirement</t>
        </is>
      </c>
      <c r="D10" s="12" t="inlineStr">
        <is>
          <t>MA ที่นำเข้าระบบถือว่าได้รับการอนุมัติจากธนาคารแล้ว</t>
        </is>
      </c>
      <c r="E10" s="11" t="inlineStr">
        <is>
          <t>มี</t>
        </is>
      </c>
      <c r="F10" s="12" t="inlineStr">
        <is>
          <t>ระบบทำได้อยู่แล้ว</t>
        </is>
      </c>
      <c r="G10" s="12" t="inlineStr">
        <is>
          <t>Done</t>
        </is>
      </c>
      <c r="H10" s="12" t="n"/>
      <c r="I10" s="7" t="n"/>
    </row>
    <row r="11" hidden="1" s="14">
      <c r="A11" s="7" t="n">
        <v>7</v>
      </c>
      <c r="B11" s="12" t="inlineStr">
        <is>
          <t>2 Master Agreement (MA)</t>
        </is>
      </c>
      <c r="C11" s="10" t="inlineStr">
        <is>
          <t>Requirement</t>
        </is>
      </c>
      <c r="D11" s="12" t="inlineStr">
        <is>
          <t>ระหว่างขั้นตอนจัดทำ/รออนุมัติในระบบ ให้มีสถานะเป็น Draft</t>
        </is>
      </c>
      <c r="E11" s="11" t="inlineStr">
        <is>
          <t>มี</t>
        </is>
      </c>
      <c r="F11" s="12" t="inlineStr">
        <is>
          <t>ระบบทำได้อยู่แล้ว</t>
        </is>
      </c>
      <c r="G11" s="12" t="inlineStr">
        <is>
          <t>Done</t>
        </is>
      </c>
      <c r="H11" s="12" t="n"/>
      <c r="I11" s="7" t="n"/>
    </row>
    <row r="12" hidden="1" s="14">
      <c r="A12" s="7" t="n">
        <v>8</v>
      </c>
      <c r="B12" s="12" t="inlineStr">
        <is>
          <t>2 Master Agreement (MA)</t>
        </is>
      </c>
      <c r="C12" s="10" t="inlineStr">
        <is>
          <t>Requirement</t>
        </is>
      </c>
      <c r="D12" s="12" t="inlineStr">
        <is>
          <t>เปลี่ยนคำว่า Subsidiary สำหรับวงเงินหลักเป็น Main</t>
        </is>
      </c>
      <c r="E12" s="11" t="inlineStr">
        <is>
          <t>ไม่มี</t>
        </is>
      </c>
      <c r="F12" s="12" t="inlineStr">
        <is>
          <t>ต้องปรับ wording</t>
        </is>
      </c>
      <c r="G12" s="12" t="n"/>
      <c r="H12" s="12" t="n"/>
      <c r="I12" s="7" t="n"/>
    </row>
    <row r="13" hidden="1" s="14">
      <c r="A13" s="7" t="n">
        <v>9</v>
      </c>
      <c r="B13" s="12" t="inlineStr">
        <is>
          <t>2 Master Agreement (MA)</t>
        </is>
      </c>
      <c r="C13" s="10" t="inlineStr">
        <is>
          <t>Requirement</t>
        </is>
      </c>
      <c r="D13" s="12" t="inlineStr">
        <is>
          <t>การ Key-in วงเงินระดับ Subsidiary สามารถกรอกเกิน Allocation บางส่วนได้ แต่ยอดใช้งานรวมต้องไม่เกินวงเงิน Main</t>
        </is>
      </c>
      <c r="E13" s="11" t="inlineStr">
        <is>
          <t>มี</t>
        </is>
      </c>
      <c r="F13" s="12" t="inlineStr">
        <is>
          <t>BRD เป็นภาพรวม เงื่อนไขต้องปรับใหม่</t>
        </is>
      </c>
      <c r="G13" s="12" t="n"/>
      <c r="H13" s="12" t="n"/>
      <c r="I13" s="7" t="n"/>
    </row>
    <row r="14" hidden="1" s="14">
      <c r="A14" s="7" t="n">
        <v>10</v>
      </c>
      <c r="B14" s="12" t="inlineStr">
        <is>
          <t>2 Master Agreement (MA)</t>
        </is>
      </c>
      <c r="C14" s="10" t="inlineStr">
        <is>
          <t>Requirement</t>
        </is>
      </c>
      <c r="D14" s="12" t="inlineStr">
        <is>
          <t>ในส่วน Condition ต้องการข้อมูล Ticker โดยต้องเชื่อมต่อกับ NetSuite</t>
        </is>
      </c>
      <c r="E14" s="11" t="inlineStr">
        <is>
          <t>มีบางส่วน</t>
        </is>
      </c>
      <c r="F14" s="12" t="inlineStr">
        <is>
          <t>ถ้าเชื่อมต่อ netsuite ต้องทำเพิ่ม</t>
        </is>
      </c>
      <c r="G14" s="12" t="n"/>
      <c r="H14" s="12" t="n"/>
      <c r="I14" s="7" t="n"/>
    </row>
    <row r="15" hidden="1" s="14">
      <c r="A15" s="7" t="n">
        <v>11</v>
      </c>
      <c r="B15" s="12" t="inlineStr">
        <is>
          <t>2 Master Agreement (MA)</t>
        </is>
      </c>
      <c r="C15" s="10" t="inlineStr">
        <is>
          <t>Requirement</t>
        </is>
      </c>
      <c r="D15" s="12" t="inlineStr">
        <is>
          <t>ต้องกำหนดว่าข้อมูลจาก NetSuite จะดึงอะไรบ้าง และกำหนด Frequency โดยเบื้องต้นเป็น รายเดือน</t>
        </is>
      </c>
      <c r="E15" s="11" t="inlineStr">
        <is>
          <t>มีบางส่วน</t>
        </is>
      </c>
      <c r="F15" s="12" t="inlineStr">
        <is>
          <t>ถ้าเชื่อมต่อ netsuite ต้องทำเพิ่ม</t>
        </is>
      </c>
      <c r="G15" s="12" t="n"/>
      <c r="H15" s="12" t="n"/>
      <c r="I15" s="7" t="n"/>
    </row>
    <row r="16" hidden="1" s="14">
      <c r="A16" s="7" t="n">
        <v>12</v>
      </c>
      <c r="B16" s="12" t="inlineStr">
        <is>
          <t>2 Master Agreement (MA)</t>
        </is>
      </c>
      <c r="C16" s="10" t="inlineStr">
        <is>
          <t>Requirement</t>
        </is>
      </c>
      <c r="D16" s="12" t="inlineStr">
        <is>
          <t>ในส่วน Collateral ต้องสามารถ Upload File ได้</t>
        </is>
      </c>
      <c r="E16" s="11" t="inlineStr">
        <is>
          <t>ไม่มี</t>
        </is>
      </c>
      <c r="F16" s="12" t="inlineStr">
        <is>
          <t>สามารถ upload file ได้ที่ tab document</t>
        </is>
      </c>
      <c r="G16" s="12" t="n"/>
      <c r="H16" s="12" t="n"/>
      <c r="I16" s="7" t="n"/>
    </row>
    <row r="17" hidden="1" s="14">
      <c r="A17" s="7" t="n">
        <v>13</v>
      </c>
      <c r="B17" s="12" t="inlineStr">
        <is>
          <t>3 Credit Agreement (CA)</t>
        </is>
      </c>
      <c r="C17" s="10" t="inlineStr">
        <is>
          <t>Requirement</t>
        </is>
      </c>
      <c r="D17" s="12" t="inlineStr">
        <is>
          <t>เมื่อสร้าง CA ต้องดึง Credit Line จาก MA อัตโนมัติ</t>
        </is>
      </c>
      <c r="E17" s="11" t="inlineStr">
        <is>
          <t>ไม่มี</t>
        </is>
      </c>
      <c r="F17" s="12" t="inlineStr">
        <is>
          <t>ถ้าดึงอัตโนมัติต้องใส่เพิ่ม logic</t>
        </is>
      </c>
      <c r="G17" s="12" t="n"/>
      <c r="H17" s="12" t="n"/>
      <c r="I17" s="7" t="n"/>
    </row>
    <row r="18" hidden="1" s="14">
      <c r="A18" s="7" t="n">
        <v>14</v>
      </c>
      <c r="B18" s="12" t="inlineStr">
        <is>
          <t>3 Credit Agreement (CA)</t>
        </is>
      </c>
      <c r="C18" s="10" t="inlineStr">
        <is>
          <t>Requirement</t>
        </is>
      </c>
      <c r="D18" s="12" t="inlineStr">
        <is>
          <t>ข้อมูลที่ดึงจาก MA ต้องสามารถแก้ไขได้ตามสิทธิ์/เงื่อนไขที่กำหนด</t>
        </is>
      </c>
      <c r="E18" s="11" t="inlineStr">
        <is>
          <t>มีบางส่วน</t>
        </is>
      </c>
      <c r="F18" s="12" t="n"/>
      <c r="G18" s="12" t="n"/>
      <c r="H18" s="12" t="n"/>
      <c r="I18" s="7" t="n"/>
    </row>
    <row r="19" hidden="1" s="14">
      <c r="A19" s="7" t="n">
        <v>15</v>
      </c>
      <c r="B19" s="12" t="inlineStr">
        <is>
          <t>3 Credit Agreement (CA)</t>
        </is>
      </c>
      <c r="C19" s="10" t="inlineStr">
        <is>
          <t>Requirement</t>
        </is>
      </c>
      <c r="D19" s="12" t="inlineStr">
        <is>
          <t>ส่วน Accounting ไม่ต้องการให้ User เลือก Account เองทุกครั้ง โดยควร Default / Set Account ไว้จาก Mapping</t>
        </is>
      </c>
      <c r="E19" s="11" t="inlineStr">
        <is>
          <t>ไม่มี</t>
        </is>
      </c>
      <c r="F19" s="12" t="inlineStr">
        <is>
          <t>ปรับเงื่อนไขใหม่ เพราะ BRD ให้เลือกเอง แต่ระบบทำไว้ให้รองรับแล้ว</t>
        </is>
      </c>
      <c r="G19" s="12" t="n"/>
      <c r="H19" s="12" t="n"/>
      <c r="I19" s="7" t="n"/>
    </row>
    <row r="20" hidden="1" s="14">
      <c r="A20" s="7" t="n">
        <v>16</v>
      </c>
      <c r="B20" s="12" t="inlineStr">
        <is>
          <t>3 Credit Agreement (CA)</t>
        </is>
      </c>
      <c r="C20" s="10" t="inlineStr">
        <is>
          <t>Requirement</t>
        </is>
      </c>
      <c r="D20" s="12" t="inlineStr">
        <is>
          <t>ต้องหารือเพิ่มเติมเรื่อง Accounting Mapping</t>
        </is>
      </c>
      <c r="E20" s="11" t="inlineStr">
        <is>
          <t>มีบางส่วน</t>
        </is>
      </c>
      <c r="F20" s="12" t="n"/>
      <c r="G20" s="12" t="n"/>
      <c r="H20" s="12" t="n"/>
      <c r="I20" s="7" t="n"/>
    </row>
    <row r="21" hidden="1" ht="15.75" customHeight="1" s="14">
      <c r="A21" s="7" t="n">
        <v>17</v>
      </c>
      <c r="B21" s="12" t="inlineStr">
        <is>
          <t>3 Credit Agreement (CA)</t>
        </is>
      </c>
      <c r="C21" s="10" t="inlineStr">
        <is>
          <t>Requirement</t>
        </is>
      </c>
      <c r="D21" s="12" t="inlineStr">
        <is>
          <t>ตอนส่งข้อมูลต้องระบุว่าเป็น Vendor ใด</t>
        </is>
      </c>
      <c r="E21" s="11" t="inlineStr">
        <is>
          <t>ไม่มี</t>
        </is>
      </c>
      <c r="F21" s="12" t="n"/>
      <c r="G21" s="12" t="n"/>
      <c r="H21" s="12" t="n"/>
      <c r="I21" s="7" t="n"/>
    </row>
    <row r="22" hidden="1" ht="15.75" customHeight="1" s="14">
      <c r="A22" s="7" t="n">
        <v>18</v>
      </c>
      <c r="B22" s="12" t="inlineStr">
        <is>
          <t>3 Credit Agreement (CA)</t>
        </is>
      </c>
      <c r="C22" s="10" t="inlineStr">
        <is>
          <t>Requirement</t>
        </is>
      </c>
      <c r="D22" s="12" t="inlineStr">
        <is>
          <t>หากเป็นไปได้ ระบบควรเลือก Card / Vendor ที่เกี่ยวข้องให้อัตโนมัติ</t>
        </is>
      </c>
      <c r="E22" s="11" t="inlineStr">
        <is>
          <t>ไม่มี</t>
        </is>
      </c>
      <c r="F22" s="12" t="n"/>
      <c r="G22" s="12" t="n"/>
      <c r="H22" s="12" t="n"/>
      <c r="I22" s="7" t="n"/>
    </row>
    <row r="23" hidden="1" ht="15.75" customHeight="1" s="14">
      <c r="A23" s="7" t="n">
        <v>19</v>
      </c>
      <c r="B23" s="12" t="inlineStr">
        <is>
          <t>3 Credit Agreement (CA)</t>
        </is>
      </c>
      <c r="C23" s="10" t="inlineStr">
        <is>
          <t>Requirement</t>
        </is>
      </c>
      <c r="D23" s="12" t="inlineStr">
        <is>
          <t>พบประเด็น UI บางส่วนไม่สอดคล้องกัน</t>
        </is>
      </c>
      <c r="E23" s="11" t="inlineStr">
        <is>
          <t>รอตรวจสอบ</t>
        </is>
      </c>
      <c r="F23" s="12" t="n"/>
      <c r="G23" s="12" t="n"/>
      <c r="H23" s="12" t="n"/>
      <c r="I23" s="7" t="n"/>
    </row>
    <row r="24" hidden="1" ht="15.75" customHeight="1" s="14">
      <c r="A24" s="7" t="n">
        <v>20</v>
      </c>
      <c r="B24" s="12" t="inlineStr">
        <is>
          <t>4 Promissory Note (PN)</t>
        </is>
      </c>
      <c r="C24" s="10" t="inlineStr">
        <is>
          <t>Requirement</t>
        </is>
      </c>
      <c r="D24" s="12" t="inlineStr">
        <is>
          <t>เมื่อเลือก CA แล้ว ระบบต้อง Lock Bank ตาม CA ทันที</t>
        </is>
      </c>
      <c r="E24" s="11" t="inlineStr">
        <is>
          <t>มีบางส่วน</t>
        </is>
      </c>
      <c r="F24" s="12" t="inlineStr">
        <is>
          <t>เพิ่มการ filter</t>
        </is>
      </c>
      <c r="G24" s="12" t="n"/>
      <c r="H24" s="12" t="n"/>
      <c r="I24" s="7" t="n"/>
    </row>
    <row r="25" hidden="1" ht="15.75" customHeight="1" s="14">
      <c r="A25" s="7" t="n">
        <v>21</v>
      </c>
      <c r="B25" s="12" t="inlineStr">
        <is>
          <t>4 Promissory Note (PN)</t>
        </is>
      </c>
      <c r="C25" s="10" t="inlineStr">
        <is>
          <t>Requirement</t>
        </is>
      </c>
      <c r="D25" s="12" t="inlineStr">
        <is>
          <t>Currency ของ PN ต้องอ้างอิงตาม Currency ของ CA</t>
        </is>
      </c>
      <c r="E25" s="11" t="inlineStr">
        <is>
          <t>มีบางส่วน</t>
        </is>
      </c>
      <c r="F25" s="12" t="inlineStr">
        <is>
          <t>BRD เป็นภาพรวมถ้าให้ดึงตามต้องเพิ่มเงื่อนไข</t>
        </is>
      </c>
      <c r="G25" s="12" t="n"/>
      <c r="H25" s="12" t="n"/>
      <c r="I25" s="7" t="n"/>
    </row>
    <row r="26" hidden="1" ht="15.75" customHeight="1" s="14">
      <c r="A26" s="7" t="n">
        <v>22</v>
      </c>
      <c r="B26" s="12" t="inlineStr">
        <is>
          <t>4 Promissory Note (PN)</t>
        </is>
      </c>
      <c r="C26" s="10" t="inlineStr">
        <is>
          <t>Requirement</t>
        </is>
      </c>
      <c r="D26" s="12" t="inlineStr">
        <is>
          <t>หาก Transaction บันทึกเป็น Foreign Currency ต้องการให้ส่งไป NetSuite ด้วย Currency เดิม เช่น CNY → ส่ง CNY โดยไม่ต้องแปลงเป็น THB ในระบบ Loan &amp; Leasing และให้ NetSuite เป็นผู้จัดการ Exchange Rate</t>
        </is>
      </c>
      <c r="E26" s="11" t="inlineStr">
        <is>
          <t>มีบางส่วน</t>
        </is>
      </c>
      <c r="F26" s="12" t="inlineStr">
        <is>
          <t>BRD เป็นภาพรวมถ้าให้ดึงตามต้องเพิ่มเงื่อนไข</t>
        </is>
      </c>
      <c r="G26" s="12" t="n"/>
      <c r="H26" s="12" t="n"/>
      <c r="I26" s="7" t="n"/>
    </row>
    <row r="27" hidden="1" ht="15.75" customHeight="1" s="14">
      <c r="A27" s="7" t="n">
        <v>23</v>
      </c>
      <c r="B27" s="12" t="inlineStr">
        <is>
          <t>4 Promissory Note (PN)</t>
        </is>
      </c>
      <c r="C27" s="10" t="inlineStr">
        <is>
          <t>Requirement</t>
        </is>
      </c>
      <c r="D27" s="12" t="inlineStr">
        <is>
          <t>ต้องสามารถเพิ่ม PO มากกว่า 1 รายการ</t>
        </is>
      </c>
      <c r="E27" s="11" t="inlineStr">
        <is>
          <t>มีบางส่วน</t>
        </is>
      </c>
      <c r="F27" s="12" t="inlineStr">
        <is>
          <t>BRD เป็นภาพรวมถ้าให้ดึงตามต้องเพิ่มเงื่อนไข</t>
        </is>
      </c>
      <c r="G27" s="12" t="n"/>
      <c r="H27" s="12" t="n"/>
      <c r="I27" s="7" t="n"/>
    </row>
    <row r="28" hidden="1" ht="15.75" customHeight="1" s="14">
      <c r="A28" s="7" t="n">
        <v>24</v>
      </c>
      <c r="B28" s="12" t="inlineStr">
        <is>
          <t>4 Promissory Note (PN)</t>
        </is>
      </c>
      <c r="C28" s="10" t="inlineStr">
        <is>
          <t>Requirement</t>
        </is>
      </c>
      <c r="D28" s="12" t="inlineStr">
        <is>
          <t>Chassis สามารถมีข้อมูลซ้ำได้ จึงต้องเพิ่ม Search Criteria เพื่อช่วยค้นหา</t>
        </is>
      </c>
      <c r="E28" s="11" t="inlineStr">
        <is>
          <t>มีบางส่วน</t>
        </is>
      </c>
      <c r="F28" s="12" t="inlineStr">
        <is>
          <t>BRD เป็นภาพรวมถ้าให้ดึงตามต้องเพิ่มเงื่อนไข</t>
        </is>
      </c>
      <c r="G28" s="12" t="n"/>
      <c r="H28" s="12" t="n"/>
      <c r="I28" s="7" t="n"/>
    </row>
    <row r="29" hidden="1" ht="15.75" customHeight="1" s="14">
      <c r="A29" s="7" t="n">
        <v>25</v>
      </c>
      <c r="B29" s="12" t="inlineStr">
        <is>
          <t>4 Promissory Note (PN)</t>
        </is>
      </c>
      <c r="C29" s="10" t="inlineStr">
        <is>
          <t>Requirement</t>
        </is>
      </c>
      <c r="D29" s="12" t="inlineStr">
        <is>
          <t>ต้อง Confirm Logic เรื่อง VAT / Cost เช่น
   •  Cost รวม VAT
   •  Cost ไม่รวม VAT
   •  VAT</t>
        </is>
      </c>
      <c r="E29" s="11" t="inlineStr">
        <is>
          <t>มีบางส่วน</t>
        </is>
      </c>
      <c r="F29" s="12" t="inlineStr">
        <is>
          <t>ถ้าต้องการดึงข้อมูลรถยนต์ว่า VAT หรือ ไม่ ทาง mgc ต้อง confirm รายละเอียดให้อีกครั้ง</t>
        </is>
      </c>
      <c r="G29" s="12" t="n"/>
      <c r="H29" s="12" t="n"/>
      <c r="I29" s="7" t="n"/>
    </row>
    <row r="30" hidden="1" ht="15.75" customHeight="1" s="14">
      <c r="A30" s="7" t="n">
        <v>26</v>
      </c>
      <c r="B30" s="12" t="inlineStr">
        <is>
          <t>4 Promissory Note (PN)</t>
        </is>
      </c>
      <c r="C30" s="10" t="inlineStr">
        <is>
          <t>Requirement</t>
        </is>
      </c>
      <c r="D30" s="12" t="inlineStr">
        <is>
          <t>ต้องตรวจสอบกรณีมีรถใหม่เข้ามาว่า Chassis จะถูก Add เข้าระบบอัตโนมัติหรือไม่</t>
        </is>
      </c>
      <c r="E30" s="11" t="inlineStr">
        <is>
          <t>มี</t>
        </is>
      </c>
      <c r="F30" s="12" t="inlineStr">
        <is>
          <t>ระบบ L&amp;L รองรับอยู่แล้ว ขึ้นอยู่กับข้อมูล Netsuite</t>
        </is>
      </c>
      <c r="G30" s="12" t="inlineStr">
        <is>
          <t>Done</t>
        </is>
      </c>
      <c r="H30" s="12" t="n"/>
      <c r="I30" s="7" t="n"/>
    </row>
    <row r="31" hidden="1" ht="15.75" customHeight="1" s="14">
      <c r="A31" s="7" t="n">
        <v>27</v>
      </c>
      <c r="B31" s="12" t="inlineStr">
        <is>
          <t>4 Promissory Note (PN)</t>
        </is>
      </c>
      <c r="C31" s="10" t="inlineStr">
        <is>
          <t>Requirement</t>
        </is>
      </c>
      <c r="D31" s="12" t="inlineStr">
        <is>
          <t>Reconcile ต้องรองรับกรณี
   •  ตัดเกิน
   •  ตัดขาด</t>
        </is>
      </c>
      <c r="E31" s="11" t="inlineStr">
        <is>
          <t>มีบางส่วน</t>
        </is>
      </c>
      <c r="F31" s="12" t="inlineStr">
        <is>
          <t>ตัดขาดต้องทำเพิ่ม</t>
        </is>
      </c>
      <c r="G31" s="12" t="n"/>
      <c r="H31" s="12" t="n"/>
      <c r="I31" s="7" t="n"/>
    </row>
    <row r="32" hidden="1" ht="15.75" customHeight="1" s="14">
      <c r="A32" s="7" t="n">
        <v>28</v>
      </c>
      <c r="B32" s="12" t="inlineStr">
        <is>
          <t>5 RP</t>
        </is>
      </c>
      <c r="C32" s="10" t="inlineStr">
        <is>
          <t>Requirement</t>
        </is>
      </c>
      <c r="D32" s="12" t="inlineStr">
        <is>
          <t>ต้องสามารถดึงค่าจาก Schedule Calculate มาใช้ได้</t>
        </is>
      </c>
      <c r="E32" s="11" t="inlineStr">
        <is>
          <t>ไม่มี</t>
        </is>
      </c>
      <c r="F32" s="12" t="n"/>
      <c r="G32" s="12" t="n"/>
      <c r="H32" s="12" t="n"/>
      <c r="I32" s="7" t="n"/>
    </row>
    <row r="33" hidden="1" ht="15.75" customHeight="1" s="14">
      <c r="A33" s="7" t="n">
        <v>29</v>
      </c>
      <c r="B33" s="12" t="inlineStr">
        <is>
          <t>5 RP</t>
        </is>
      </c>
      <c r="C33" s="10" t="inlineStr">
        <is>
          <t>Requirement</t>
        </is>
      </c>
      <c r="D33" s="12" t="inlineStr">
        <is>
          <t>ค่าที่ดึงมาต้องสามารถแก้ไขได้</t>
        </is>
      </c>
      <c r="E33" s="11" t="inlineStr">
        <is>
          <t>ไม่มี</t>
        </is>
      </c>
      <c r="F33" s="12" t="n"/>
      <c r="G33" s="12" t="n"/>
      <c r="H33" s="12" t="n"/>
      <c r="I33" s="7" t="n"/>
    </row>
    <row r="34" hidden="1" ht="15.75" customHeight="1" s="14">
      <c r="A34" s="7" t="n">
        <v>30</v>
      </c>
      <c r="B34" s="12" t="inlineStr">
        <is>
          <t>6 Journal Entry (JE)</t>
        </is>
      </c>
      <c r="C34" s="10" t="inlineStr">
        <is>
          <t>Requirement</t>
        </is>
      </c>
      <c r="D34" s="12" t="inlineStr">
        <is>
          <t>ต้องมีขั้นตอน Recheck JE ก่อนส่งข้อมูลไป NetSuite</t>
        </is>
      </c>
      <c r="E34" s="11" t="inlineStr">
        <is>
          <t>มี</t>
        </is>
      </c>
      <c r="F34" s="12" t="inlineStr">
        <is>
          <t>มีอยู่หน้า JE detail แล้ว</t>
        </is>
      </c>
      <c r="G34" s="12" t="n"/>
      <c r="H34" s="12" t="n"/>
      <c r="I34" s="7" t="n"/>
    </row>
    <row r="35" hidden="1" ht="15.75" customHeight="1" s="14">
      <c r="A35" s="7" t="n">
        <v>31</v>
      </c>
      <c r="B35" s="12" t="inlineStr">
        <is>
          <t>6 Journal Entry (JE)</t>
        </is>
      </c>
      <c r="C35" s="10" t="inlineStr">
        <is>
          <t>Requirement</t>
        </is>
      </c>
      <c r="D35" s="12" t="inlineStr">
        <is>
          <t>ต้องตรวจสอบความถูกต้องของ Account และ Amount ก่อน Interface</t>
        </is>
      </c>
      <c r="E35" s="11" t="inlineStr">
        <is>
          <t>มี</t>
        </is>
      </c>
      <c r="F35" s="12" t="inlineStr">
        <is>
          <t>มีอยู่หน้า JE detail แล้ว</t>
        </is>
      </c>
      <c r="G35" s="12" t="n"/>
      <c r="H35" s="12" t="n"/>
      <c r="I35" s="7" t="n"/>
    </row>
    <row r="36" hidden="1" ht="15.75" customHeight="1" s="14">
      <c r="A36" s="7" t="n">
        <v>32</v>
      </c>
      <c r="B36" s="12" t="inlineStr">
        <is>
          <t>7 LG / BG</t>
        </is>
      </c>
      <c r="C36" s="10" t="inlineStr">
        <is>
          <t>Requirement</t>
        </is>
      </c>
      <c r="D36" s="12" t="inlineStr">
        <is>
          <t>รองรับกรณี ค่าธรรมเนียมรับคืน</t>
        </is>
      </c>
      <c r="E36" s="11" t="inlineStr">
        <is>
          <t>ไม่มี</t>
        </is>
      </c>
      <c r="F36" s="12" t="n"/>
      <c r="G36" s="12" t="n"/>
      <c r="H36" s="12" t="n"/>
      <c r="I36" s="7" t="n"/>
    </row>
    <row r="37" hidden="1" ht="15.75" customHeight="1" s="14">
      <c r="A37" s="7" t="n">
        <v>33</v>
      </c>
      <c r="B37" s="12" t="inlineStr">
        <is>
          <t>7 LG / BG</t>
        </is>
      </c>
      <c r="C37" s="10" t="inlineStr">
        <is>
          <t>Requirement</t>
        </is>
      </c>
      <c r="D37" s="12" t="inlineStr">
        <is>
          <t>ต้องมี Amortization Table</t>
        </is>
      </c>
      <c r="E37" s="11" t="inlineStr">
        <is>
          <t>ไม่มี</t>
        </is>
      </c>
      <c r="F37" s="12" t="n"/>
      <c r="G37" s="12" t="n"/>
      <c r="H37" s="12" t="n"/>
      <c r="I37" s="7" t="n"/>
    </row>
    <row r="38" hidden="1" ht="15.75" customHeight="1" s="14">
      <c r="A38" s="7" t="n">
        <v>34</v>
      </c>
      <c r="B38" s="12" t="inlineStr">
        <is>
          <t>8 Letter of Credit (LC)</t>
        </is>
      </c>
      <c r="C38" s="10" t="inlineStr">
        <is>
          <t>Requirement</t>
        </is>
      </c>
      <c r="D38" s="12" t="inlineStr">
        <is>
          <t>ต้องทบทวน Logic เรื่อง วันที่ / วันที่เริ่มต้น</t>
        </is>
      </c>
      <c r="E38" s="11" t="inlineStr">
        <is>
          <t>ไม่มี</t>
        </is>
      </c>
      <c r="F38" s="12" t="n"/>
      <c r="G38" s="12" t="n"/>
      <c r="H38" s="12" t="n"/>
      <c r="I38" s="7" t="n"/>
    </row>
    <row r="39" hidden="1" ht="15.75" customHeight="1" s="14">
      <c r="A39" s="7" t="n">
        <v>35</v>
      </c>
      <c r="B39" s="12" t="inlineStr">
        <is>
          <t>8 Letter of Credit (LC)</t>
        </is>
      </c>
      <c r="C39" s="10" t="inlineStr">
        <is>
          <t>Requirement</t>
        </is>
      </c>
      <c r="D39" s="12" t="inlineStr">
        <is>
          <t>หลังปรับแก้แล้วต้องนำกลับมา Confirm อีกครั้ง</t>
        </is>
      </c>
      <c r="E39" s="11" t="inlineStr">
        <is>
          <t>NA</t>
        </is>
      </c>
      <c r="F39" s="12" t="n"/>
      <c r="G39" s="12" t="n"/>
      <c r="H39" s="12" t="n"/>
      <c r="I39" s="7" t="n"/>
    </row>
    <row r="40" hidden="1" ht="15.75" customHeight="1" s="14">
      <c r="A40" s="7" t="n">
        <v>36</v>
      </c>
      <c r="B40" s="12" t="inlineStr">
        <is>
          <t>8 Letter of Credit (LC)</t>
        </is>
      </c>
      <c r="C40" s="10" t="inlineStr">
        <is>
          <t>Requirement</t>
        </is>
      </c>
      <c r="D40" s="12" t="inlineStr">
        <is>
          <t>LC 1 รายการต้องสามารถผูก FX ได้หลายรายการ</t>
        </is>
      </c>
      <c r="E40" s="11" t="inlineStr">
        <is>
          <t>ไม่มี</t>
        </is>
      </c>
      <c r="F40" s="12" t="n"/>
      <c r="G40" s="12" t="n"/>
      <c r="H40" s="12" t="n"/>
      <c r="I40" s="7" t="n"/>
    </row>
    <row r="41" hidden="1" ht="15.75" customHeight="1" s="14">
      <c r="A41" s="7" t="n">
        <v>37</v>
      </c>
      <c r="B41" s="12" t="inlineStr">
        <is>
          <t>8 Letter of Credit (LC)</t>
        </is>
      </c>
      <c r="C41" s="10" t="inlineStr">
        <is>
          <t>Requirement</t>
        </is>
      </c>
      <c r="D41" s="12" t="inlineStr">
        <is>
          <t>LC เป็นลักษณะ จ่ายปิดครั้งเดียว</t>
        </is>
      </c>
      <c r="E41" s="11" t="inlineStr">
        <is>
          <t>NA</t>
        </is>
      </c>
      <c r="F41" s="12" t="n"/>
      <c r="G41" s="12" t="n"/>
      <c r="H41" s="12" t="n"/>
      <c r="I41" s="7" t="n"/>
    </row>
    <row r="42" hidden="1" ht="15.75" customHeight="1" s="14">
      <c r="A42" s="7" t="n">
        <v>38</v>
      </c>
      <c r="B42" s="12" t="inlineStr">
        <is>
          <t>8 Letter of Credit (LC)</t>
        </is>
      </c>
      <c r="C42" s="10" t="inlineStr">
        <is>
          <t>Requirement</t>
        </is>
      </c>
      <c r="D42" s="12" t="inlineStr">
        <is>
          <t>ต้องปรับหน้าจอและนำมา Reconfirm</t>
        </is>
      </c>
      <c r="E42" s="11" t="inlineStr">
        <is>
          <t>NA</t>
        </is>
      </c>
      <c r="F42" s="12" t="n"/>
      <c r="G42" s="12" t="n"/>
      <c r="H42" s="12" t="n"/>
      <c r="I42" s="7" t="n"/>
    </row>
    <row r="43" hidden="1" ht="15.75" customHeight="1" s="14">
      <c r="A43" s="7" t="n">
        <v>39</v>
      </c>
      <c r="B43" s="12" t="inlineStr">
        <is>
          <t>8 Letter of Credit (LC)</t>
        </is>
      </c>
      <c r="C43" s="10" t="inlineStr">
        <is>
          <t>Requirement</t>
        </is>
      </c>
      <c r="D43" s="12" t="inlineStr">
        <is>
          <t>Schedule Calculate ต้องสามารถแก้ไขได้</t>
        </is>
      </c>
      <c r="E43" s="11" t="inlineStr">
        <is>
          <t>ไม่มี</t>
        </is>
      </c>
      <c r="F43" s="12" t="n"/>
      <c r="G43" s="12" t="n"/>
      <c r="H43" s="12" t="n"/>
      <c r="I43" s="7" t="n"/>
    </row>
    <row r="44" ht="15.75" customHeight="1" s="14">
      <c r="A44" s="7" t="n">
        <v>40</v>
      </c>
      <c r="B44" s="12" t="inlineStr">
        <is>
          <t>8 Letter of Credit (LC)</t>
        </is>
      </c>
      <c r="C44" s="10" t="inlineStr">
        <is>
          <t>Requirement</t>
        </is>
      </c>
      <c r="D44" s="12" t="inlineStr">
        <is>
          <t>Exchange Rate ต้องอ้างอิงตาม Bank ของ Contract</t>
        </is>
      </c>
      <c r="E44" s="11" t="inlineStr">
        <is>
          <t>ไม่มี</t>
        </is>
      </c>
      <c r="F44" s="12" t="n"/>
      <c r="G44" s="12" t="n"/>
      <c r="H44" s="12" t="n"/>
      <c r="I44" s="7" t="n"/>
    </row>
    <row r="45" hidden="1" ht="15.75" customHeight="1" s="14">
      <c r="A45" s="7" t="n">
        <v>41</v>
      </c>
      <c r="B45" s="12" t="inlineStr">
        <is>
          <t>8 Letter of Credit (LC)</t>
        </is>
      </c>
      <c r="C45" s="10" t="inlineStr">
        <is>
          <t>Requirement</t>
        </is>
      </c>
      <c r="D45" s="12" t="inlineStr">
        <is>
          <t>FX ต้องอ้างอิง Rate จาก Reference Contract</t>
        </is>
      </c>
      <c r="E45" s="11" t="inlineStr">
        <is>
          <t>มี</t>
        </is>
      </c>
      <c r="F45" s="12" t="n"/>
      <c r="G45" s="12" t="n"/>
      <c r="H45" s="12" t="n"/>
      <c r="I45" s="7" t="n"/>
    </row>
    <row r="46" hidden="1" ht="15.75" customHeight="1" s="14">
      <c r="A46" s="7" t="n">
        <v>42</v>
      </c>
      <c r="B46" s="12" t="inlineStr">
        <is>
          <t>8 Letter of Credit (LC)</t>
        </is>
      </c>
      <c r="C46" s="10" t="inlineStr">
        <is>
          <t>Requirement</t>
        </is>
      </c>
      <c r="D46" s="12" t="inlineStr">
        <is>
          <t>เพิ่ม Tab Imported Good</t>
        </is>
      </c>
      <c r="E46" s="11" t="inlineStr">
        <is>
          <t>ไม่มี</t>
        </is>
      </c>
      <c r="F46" s="12" t="n"/>
      <c r="G46" s="12" t="n"/>
      <c r="H46" s="12" t="n"/>
      <c r="I46" s="7" t="n"/>
    </row>
    <row r="47" hidden="1" ht="15.75" customHeight="1" s="14">
      <c r="A47" s="7" t="n">
        <v>43</v>
      </c>
      <c r="B47" s="12" t="inlineStr">
        <is>
          <t>8 Letter of Credit (LC)</t>
        </is>
      </c>
      <c r="C47" s="10" t="inlineStr">
        <is>
          <t>Requirement</t>
        </is>
      </c>
      <c r="D47" s="12" t="inlineStr">
        <is>
          <t>ตอนจ่าย/ปิดรายการ ต้องปิดจาก Sub ไม่ใช่ตัว Main ดังนั้น FX ควร Link กับรายการระดับ Sub</t>
        </is>
      </c>
      <c r="E47" s="11" t="inlineStr">
        <is>
          <t>มีบางส่วน</t>
        </is>
      </c>
      <c r="F47" s="12" t="inlineStr">
        <is>
          <t>ต้อง check logic เพิ่มเติมถ้าปิดจาก sub</t>
        </is>
      </c>
      <c r="G47" s="12" t="n"/>
      <c r="H47" s="12" t="n"/>
      <c r="I47" s="7" t="n"/>
    </row>
    <row r="48" hidden="1" ht="15.75" customHeight="1" s="14">
      <c r="A48" s="7" t="n">
        <v>44</v>
      </c>
      <c r="B48" s="12" t="inlineStr">
        <is>
          <t>8 Letter of Credit (LC)</t>
        </is>
      </c>
      <c r="C48" s="10" t="inlineStr">
        <is>
          <t>Requirement</t>
        </is>
      </c>
      <c r="D48" s="12" t="inlineStr">
        <is>
          <t>ต้องการให้สามารถตรวจสอบ FX ที่ยังไม่ได้ Map กับ LC</t>
        </is>
      </c>
      <c r="E48" s="11" t="inlineStr">
        <is>
          <t>ไม่มี</t>
        </is>
      </c>
      <c r="F48" s="12" t="inlineStr">
        <is>
          <t>ต้องเพิ่มรายงาน หรือ validation</t>
        </is>
      </c>
      <c r="G48" s="12" t="n"/>
      <c r="H48" s="12" t="n"/>
      <c r="I48" s="7" t="n"/>
    </row>
    <row r="49" hidden="1" ht="15.75" customHeight="1" s="14">
      <c r="A49" s="7" t="n">
        <v>45</v>
      </c>
      <c r="B49" s="12" t="inlineStr">
        <is>
          <t>8 Letter of Credit (LC)</t>
        </is>
      </c>
      <c r="C49" s="10" t="inlineStr">
        <is>
          <t>Requirement</t>
        </is>
      </c>
      <c r="D49" s="12" t="inlineStr">
        <is>
          <t>ต้องตัดสินใจว่าจะนำข้อมูลดังกล่าวไปแสดงใน Dashboard หรือ Report</t>
        </is>
      </c>
      <c r="E49" s="11" t="inlineStr">
        <is>
          <t>มีบางส่วน</t>
        </is>
      </c>
      <c r="F49" s="12" t="n"/>
      <c r="G49" s="12" t="n"/>
      <c r="H49" s="12" t="n"/>
      <c r="I49" s="7" t="n"/>
    </row>
    <row r="50" hidden="1" ht="15.75" customHeight="1" s="14">
      <c r="A50" s="7" t="n">
        <v>46</v>
      </c>
      <c r="B50" s="12" t="inlineStr">
        <is>
          <t>9 Floor Plan (FP)</t>
        </is>
      </c>
      <c r="C50" s="10" t="inlineStr">
        <is>
          <t>Requirement</t>
        </is>
      </c>
      <c r="D50" s="12" t="inlineStr">
        <is>
          <t>Chassis ที่ขายและปิดรายการแล้วควรถูกนำออกจากรายการ Active</t>
        </is>
      </c>
      <c r="E50" s="11" t="inlineStr">
        <is>
          <t>ไม่มี</t>
        </is>
      </c>
      <c r="F50" s="12" t="inlineStr">
        <is>
          <t>ถ้าหลุด auto ต้องทำเงื่อนไขเพิ่ม</t>
        </is>
      </c>
      <c r="G50" s="12" t="n"/>
      <c r="H50" s="12" t="n"/>
      <c r="I50" s="7" t="n"/>
    </row>
    <row r="51" ht="15.75" customHeight="1" s="14">
      <c r="A51" s="7" t="n">
        <v>47</v>
      </c>
      <c r="B51" s="12" t="inlineStr">
        <is>
          <t>9 Floor Plan (FP)</t>
        </is>
      </c>
      <c r="C51" s="10" t="inlineStr">
        <is>
          <t>Requirement</t>
        </is>
      </c>
      <c r="D51" s="12" t="inlineStr">
        <is>
          <t>หากขายแล้วแต่ยังไม่ปิด ต้องยังแสดงอยู่พร้อม Status</t>
        </is>
      </c>
      <c r="E51" s="11" t="inlineStr">
        <is>
          <t>มี</t>
        </is>
      </c>
      <c r="F51" s="12" t="n"/>
      <c r="G51" s="12" t="n"/>
      <c r="H51" s="12" t="n"/>
      <c r="I51" s="7" t="n"/>
    </row>
    <row r="52" hidden="1" ht="15.75" customHeight="1" s="14">
      <c r="A52" s="7" t="n">
        <v>48</v>
      </c>
      <c r="B52" s="12" t="inlineStr">
        <is>
          <t>9 Floor Plan (FP)</t>
        </is>
      </c>
      <c r="C52" s="10" t="inlineStr">
        <is>
          <t>Requirement</t>
        </is>
      </c>
      <c r="D52" s="12" t="inlineStr">
        <is>
          <t>การนับ Curtailment ต้องคำนวณราย Chassis</t>
        </is>
      </c>
      <c r="E52" s="11" t="inlineStr">
        <is>
          <t>ไม่มี</t>
        </is>
      </c>
      <c r="F52" s="12" t="n"/>
      <c r="G52" s="12" t="n"/>
      <c r="H52" s="12" t="n"/>
      <c r="I52" s="7" t="n"/>
    </row>
    <row r="53" hidden="1" ht="15.75" customHeight="1" s="14">
      <c r="A53" s="7" t="n">
        <v>49</v>
      </c>
      <c r="B53" s="12" t="inlineStr">
        <is>
          <t>9 Floor Plan (FP)</t>
        </is>
      </c>
      <c r="C53" s="10" t="inlineStr">
        <is>
          <t>Requirement</t>
        </is>
      </c>
      <c r="D53" s="12" t="inlineStr">
        <is>
          <t>Vendor = Dealer เป็นความสัมพันธ์แบบ 1:1</t>
        </is>
      </c>
      <c r="E53" s="11" t="inlineStr">
        <is>
          <t>มีบางส่วน</t>
        </is>
      </c>
      <c r="F53" s="12" t="inlineStr">
        <is>
          <t xml:space="preserve">เพิ่ม type แยก vender </t>
        </is>
      </c>
      <c r="G53" s="12" t="n"/>
      <c r="H53" s="12" t="n"/>
      <c r="I53" s="7" t="n"/>
    </row>
    <row r="54" hidden="1" ht="15.75" customHeight="1" s="14">
      <c r="A54" s="7" t="n">
        <v>50</v>
      </c>
      <c r="B54" s="12" t="inlineStr">
        <is>
          <t>9 Floor Plan (FP)</t>
        </is>
      </c>
      <c r="C54" s="10" t="inlineStr">
        <is>
          <t>Requirement</t>
        </is>
      </c>
      <c r="D54" s="12" t="inlineStr">
        <is>
          <t>เพิ่ม Sold Date ใน Chassis สำหรับหน้าที่ยังไม่มีข้อมูลดังกล่าว</t>
        </is>
      </c>
      <c r="E54" s="11" t="inlineStr">
        <is>
          <t>มีบางส่วน</t>
        </is>
      </c>
      <c r="F54" s="12" t="inlineStr">
        <is>
          <t>ใน BRD มีเฉพาะหน้า Floor Plan หน้าอื่นถ้าให้มีด้วยต้องปรับเพิ่ม</t>
        </is>
      </c>
      <c r="G54" s="12" t="n"/>
      <c r="H54" s="12" t="n"/>
      <c r="I54" s="7" t="n"/>
    </row>
    <row r="55" hidden="1" ht="15.75" customHeight="1" s="14">
      <c r="A55" s="7" t="n">
        <v>51</v>
      </c>
      <c r="B55" s="12" t="inlineStr">
        <is>
          <t>9 Floor Plan (FP)</t>
        </is>
      </c>
      <c r="C55" s="10" t="inlineStr">
        <is>
          <t>Requirement</t>
        </is>
      </c>
      <c r="D55" s="12" t="inlineStr">
        <is>
          <t>ต้องทำหน้าจอเพิ่มเติมเพื่อ Confirm</t>
        </is>
      </c>
      <c r="E55" s="11" t="inlineStr">
        <is>
          <t>NA</t>
        </is>
      </c>
      <c r="F55" s="12" t="n"/>
      <c r="G55" s="12" t="n"/>
      <c r="H55" s="12" t="n"/>
      <c r="I55" s="7" t="n"/>
    </row>
    <row r="56" hidden="1" ht="15.75" customHeight="1" s="14">
      <c r="A56" s="7" t="n">
        <v>52</v>
      </c>
      <c r="B56" s="12" t="inlineStr">
        <is>
          <t>9 Floor Plan (FP)</t>
        </is>
      </c>
      <c r="C56" s="10" t="inlineStr">
        <is>
          <t>Requirement</t>
        </is>
      </c>
      <c r="D56" s="12" t="inlineStr">
        <is>
          <t>Curtailment ต้องสามารถผูกกับ Chassis และตัดยอด รายคัน</t>
        </is>
      </c>
      <c r="E56" s="11" t="inlineStr">
        <is>
          <t>ไม่มี</t>
        </is>
      </c>
      <c r="F56" s="12" t="n"/>
      <c r="G56" s="12" t="n"/>
      <c r="H56" s="12" t="n"/>
      <c r="I56" s="7" t="n"/>
    </row>
    <row r="57" hidden="1" ht="15.75" customHeight="1" s="14">
      <c r="A57" s="7" t="n">
        <v>53</v>
      </c>
      <c r="B57" s="12" t="inlineStr">
        <is>
          <t>9 Floor Plan (FP)</t>
        </is>
      </c>
      <c r="C57" s="10" t="inlineStr">
        <is>
          <t>Requirement</t>
        </is>
      </c>
      <c r="D57" s="12" t="inlineStr">
        <is>
          <t>ขั้นตอนรับรถ: FA ควรอยู่ใน Finance List (Leasing)</t>
        </is>
      </c>
      <c r="E57" s="11" t="inlineStr">
        <is>
          <t>ไม่มี</t>
        </is>
      </c>
      <c r="F57" s="12" t="inlineStr">
        <is>
          <t>ตัดออก</t>
        </is>
      </c>
      <c r="G57" s="12" t="n"/>
      <c r="H57" s="12" t="n"/>
      <c r="I57" s="7" t="n"/>
    </row>
    <row r="58" hidden="1" ht="15.75" customHeight="1" s="14">
      <c r="A58" s="7" t="n">
        <v>54</v>
      </c>
      <c r="B58" s="12" t="inlineStr">
        <is>
          <t>10 Overdraft (OD)</t>
        </is>
      </c>
      <c r="C58" s="10" t="inlineStr">
        <is>
          <t>Requirement</t>
        </is>
      </c>
      <c r="D58" s="12" t="inlineStr">
        <is>
          <t>เพิ่ม/ใช้ Function Import Bank Statement ซึ่งมี Function รองรับอยู่แล้ว</t>
        </is>
      </c>
      <c r="E58" s="11" t="inlineStr">
        <is>
          <t>มี</t>
        </is>
      </c>
      <c r="F58" s="12" t="n"/>
      <c r="G58" s="12" t="n"/>
      <c r="H58" s="12" t="n"/>
      <c r="I58" s="7" t="n"/>
    </row>
    <row r="59" hidden="1" ht="15.75" customHeight="1" s="14">
      <c r="A59" s="7" t="n">
        <v>55</v>
      </c>
      <c r="B59" s="12" t="inlineStr">
        <is>
          <t>10 Overdraft (OD)</t>
        </is>
      </c>
      <c r="C59" s="10" t="inlineStr">
        <is>
          <t>Requirement</t>
        </is>
      </c>
      <c r="D59" s="12" t="inlineStr">
        <is>
          <t>Schedule ต้องเป็น รายวัน</t>
        </is>
      </c>
      <c r="E59" s="11" t="inlineStr">
        <is>
          <t>มีบางส่วน</t>
        </is>
      </c>
      <c r="F59" s="12" t="inlineStr">
        <is>
          <t>ถ้าให้แสดงทุกวันต้องปรับใหม่</t>
        </is>
      </c>
      <c r="G59" s="12" t="n"/>
      <c r="H59" s="12" t="n"/>
      <c r="I59" s="7" t="n"/>
    </row>
    <row r="60" hidden="1" ht="15.75" customHeight="1" s="14">
      <c r="A60" s="7" t="n">
        <v>56</v>
      </c>
      <c r="B60" s="12" t="inlineStr">
        <is>
          <t>10 Overdraft (OD)</t>
        </is>
      </c>
      <c r="C60" s="10" t="inlineStr">
        <is>
          <t>Requirement</t>
        </is>
      </c>
      <c r="D60" s="12" t="inlineStr">
        <is>
          <t>Bank Transaction ต้อง Update / Import ทุกวัน</t>
        </is>
      </c>
      <c r="E60" s="11" t="inlineStr">
        <is>
          <t>มี</t>
        </is>
      </c>
      <c r="F60" s="12" t="n"/>
      <c r="G60" s="12" t="n"/>
      <c r="H60" s="12" t="n"/>
      <c r="I60" s="7" t="n"/>
    </row>
    <row r="61" hidden="1" ht="15.75" customHeight="1" s="14">
      <c r="A61" s="7" t="n">
        <v>57</v>
      </c>
      <c r="B61" s="12" t="inlineStr">
        <is>
          <t>10 Overdraft (OD)</t>
        </is>
      </c>
      <c r="C61" s="10" t="inlineStr">
        <is>
          <t>Requirement</t>
        </is>
      </c>
      <c r="D61" s="12" t="inlineStr">
        <is>
          <t>Schedule ต้องแสดงรายการของทุกวันที่เกี่ยวข้อง โดยเฉพาะวันที่มีสถานะ/Indicator สีแดง</t>
        </is>
      </c>
      <c r="E61" s="11" t="inlineStr">
        <is>
          <t>มีบางส่วน</t>
        </is>
      </c>
      <c r="F61" s="12" t="inlineStr">
        <is>
          <t>ถ้าให้แสดงทุกวันต้องปรับใหม่</t>
        </is>
      </c>
      <c r="G61" s="12" t="n"/>
      <c r="H61" s="12" t="n"/>
      <c r="I61" s="7" t="n"/>
    </row>
    <row r="62" hidden="1" ht="15.75" customHeight="1" s="14">
      <c r="A62" s="7" t="n">
        <v>58</v>
      </c>
      <c r="B62" s="12" t="inlineStr">
        <is>
          <t>11 Loan (LN)</t>
        </is>
      </c>
      <c r="C62" s="10" t="inlineStr">
        <is>
          <t>Requirement</t>
        </is>
      </c>
      <c r="D62" s="12" t="inlineStr">
        <is>
          <t>Logic End Date: หากเริ่มวันที่ 15 รอบเดือนถัดไปต้องสิ้นสุดวันที่ 14</t>
        </is>
      </c>
      <c r="E62" s="11" t="inlineStr">
        <is>
          <t>มี</t>
        </is>
      </c>
      <c r="F62" s="12" t="inlineStr">
        <is>
          <t>check logic ระบบ</t>
        </is>
      </c>
      <c r="G62" s="12" t="n"/>
      <c r="H62" s="12" t="n"/>
      <c r="I62" s="7" t="n"/>
    </row>
    <row r="63" hidden="1" ht="15.75" customHeight="1" s="14">
      <c r="A63" s="7" t="n">
        <v>59</v>
      </c>
      <c r="B63" s="12" t="inlineStr">
        <is>
          <t>11 Loan (LN)</t>
        </is>
      </c>
      <c r="C63" s="10" t="inlineStr">
        <is>
          <t>Requirement</t>
        </is>
      </c>
      <c r="D63" s="12" t="inlineStr">
        <is>
          <t>รองรับ Step Period</t>
        </is>
      </c>
      <c r="E63" s="11" t="inlineStr">
        <is>
          <t>มี</t>
        </is>
      </c>
      <c r="F63" s="12" t="inlineStr">
        <is>
          <t>ต้องนำออกหรือไม่ ปรึกษาพี่ติ่ง</t>
        </is>
      </c>
      <c r="G63" s="12" t="n"/>
      <c r="H63" s="12" t="n"/>
      <c r="I63" s="7" t="n"/>
    </row>
    <row r="64" hidden="1" ht="15.75" customHeight="1" s="14">
      <c r="A64" s="7" t="n">
        <v>60</v>
      </c>
      <c r="B64" s="12" t="inlineStr">
        <is>
          <t>11 Loan (LN)</t>
        </is>
      </c>
      <c r="C64" s="10" t="inlineStr">
        <is>
          <t>Requirement</t>
        </is>
      </c>
      <c r="D64" s="12" t="inlineStr">
        <is>
          <t>รองรับ Step RV</t>
        </is>
      </c>
      <c r="E64" s="11" t="inlineStr">
        <is>
          <t>มี</t>
        </is>
      </c>
      <c r="F64" s="12" t="inlineStr">
        <is>
          <t>ต้องนำออกหรือไม่ ปรึกษาพี่ติ่ง</t>
        </is>
      </c>
      <c r="G64" s="12" t="n"/>
      <c r="H64" s="12" t="n"/>
      <c r="I64" s="7" t="n"/>
    </row>
    <row r="65" ht="15.75" customHeight="1" s="14">
      <c r="A65" s="7" t="n">
        <v>61</v>
      </c>
      <c r="B65" s="12" t="inlineStr">
        <is>
          <t>11 Loan (LN)</t>
        </is>
      </c>
      <c r="C65" s="10" t="inlineStr">
        <is>
          <t>Requirement</t>
        </is>
      </c>
      <c r="D65" s="12" t="inlineStr">
        <is>
          <t>Payment Type ต้องพิจารณาเพิ่ม
Grace Period and Fix Installment (Balloon)
Grace Period and Fix Principal (Balloon)</t>
        </is>
      </c>
      <c r="E65" s="11" t="inlineStr">
        <is>
          <t>ไม่มี</t>
        </is>
      </c>
      <c r="F65" s="12" t="inlineStr">
        <is>
          <t>ทำเพิ่ม</t>
        </is>
      </c>
      <c r="G65" s="12" t="n"/>
      <c r="H65" s="12" t="n"/>
      <c r="I65" s="7" t="n"/>
    </row>
    <row r="66" hidden="1" ht="15.75" customHeight="1" s="14">
      <c r="A66" s="7" t="n">
        <v>62</v>
      </c>
      <c r="B66" s="12" t="inlineStr">
        <is>
          <t>11 Loan (LN)</t>
        </is>
      </c>
      <c r="C66" s="10" t="inlineStr">
        <is>
          <t>Requirement</t>
        </is>
      </c>
      <c r="D66" s="12" t="inlineStr">
        <is>
          <t>Schedule Calculate ต้องปรับชื่อ Column DAYS เป็นคำที่สะท้อนความหมายให้ถูกต้อง เช่น
   •  Accrued Days
   •  หรือชื่ออื่นตาม Business Definition</t>
        </is>
      </c>
      <c r="E66" s="11" t="inlineStr">
        <is>
          <t>มี</t>
        </is>
      </c>
      <c r="F66" s="12" t="inlineStr">
        <is>
          <t>ต้องนำออกหรือไม่ ปรึกษาพี่ติ่ง</t>
        </is>
      </c>
      <c r="G66" s="12" t="n"/>
      <c r="H66" s="12" t="n"/>
      <c r="I66" s="7" t="n"/>
    </row>
    <row r="67" hidden="1" ht="15.75" customHeight="1" s="14">
      <c r="A67" s="7" t="n">
        <v>63</v>
      </c>
      <c r="B67" s="12" t="inlineStr">
        <is>
          <t>11 Loan (LN)</t>
        </is>
      </c>
      <c r="C67" s="10" t="inlineStr">
        <is>
          <t>Requirement</t>
        </is>
      </c>
      <c r="D67" s="12" t="inlineStr">
        <is>
          <t>ต้องปรับ Prototype เรื่อง Step Payment</t>
        </is>
      </c>
      <c r="E67" s="11" t="inlineStr">
        <is>
          <t>ไม่มี</t>
        </is>
      </c>
      <c r="F67" s="12" t="inlineStr">
        <is>
          <t>ปรับทำเพิ่ม ถ้าต้องการดึงข้อมุลจาก schedulate มาแสดง</t>
        </is>
      </c>
      <c r="G67" s="12" t="n"/>
      <c r="H67" s="12" t="n"/>
      <c r="I67" s="7" t="n"/>
    </row>
    <row r="68" hidden="1" ht="15.75" customHeight="1" s="14">
      <c r="A68" s="7" t="n">
        <v>64</v>
      </c>
      <c r="B68" s="12" t="inlineStr">
        <is>
          <t>11 Loan (LN)</t>
        </is>
      </c>
      <c r="C68" s="10" t="inlineStr">
        <is>
          <t>Requirement</t>
        </is>
      </c>
      <c r="D68" s="12" t="inlineStr">
        <is>
          <t>ต้องปรับ Schedule Calculate</t>
        </is>
      </c>
      <c r="E68" s="11" t="inlineStr">
        <is>
          <t>มีบางส่วน</t>
        </is>
      </c>
      <c r="F68" s="12" t="inlineStr">
        <is>
          <t>ตรวจสอบ logic ถ้าให้ได้ในตารางทำเพิ่ม</t>
        </is>
      </c>
      <c r="G68" s="12" t="n"/>
      <c r="H68" s="12" t="n"/>
      <c r="I68" s="7" t="n"/>
    </row>
    <row r="69" hidden="1" ht="15.75" customHeight="1" s="14">
      <c r="A69" s="7" t="n">
        <v>65</v>
      </c>
      <c r="B69" s="12" t="inlineStr">
        <is>
          <t>11 Loan (LN)</t>
        </is>
      </c>
      <c r="C69" s="10" t="inlineStr">
        <is>
          <t>Requirement</t>
        </is>
      </c>
      <c r="D69" s="12" t="inlineStr">
        <is>
          <t>Field Date ทางซ้ายต้องพิจารณาเปลี่ยนชื่อให้ตรงกับความหมาย</t>
        </is>
      </c>
      <c r="E69" s="11" t="inlineStr">
        <is>
          <t>มี</t>
        </is>
      </c>
      <c r="F69" s="12" t="inlineStr">
        <is>
          <t>ปรับ label.ใหม่</t>
        </is>
      </c>
      <c r="G69" s="12" t="n"/>
      <c r="H69" s="12" t="n"/>
      <c r="I69" s="7" t="n"/>
    </row>
    <row r="70" hidden="1" ht="15.75" customHeight="1" s="14">
      <c r="A70" s="7" t="n">
        <v>66</v>
      </c>
      <c r="B70" s="12" t="inlineStr">
        <is>
          <t>11 Loan (LN)</t>
        </is>
      </c>
      <c r="C70" s="10" t="inlineStr">
        <is>
          <t>Requirement</t>
        </is>
      </c>
      <c r="D70" s="12" t="inlineStr">
        <is>
          <t>Loan สามารถมี มากกว่า 1 Chassis</t>
        </is>
      </c>
      <c r="E70" s="11" t="inlineStr">
        <is>
          <t>มีบางส่วน</t>
        </is>
      </c>
      <c r="F70" s="12" t="inlineStr">
        <is>
          <t>ถ้าเพิ่มเรื่อง PO รับหลายคันต้องทำเพิ่ม</t>
        </is>
      </c>
      <c r="G70" s="12" t="n"/>
      <c r="H70" s="12" t="n"/>
      <c r="I70" s="7" t="n"/>
    </row>
    <row r="71" hidden="1" ht="15.75" customHeight="1" s="14">
      <c r="A71" s="7" t="n">
        <v>67</v>
      </c>
      <c r="B71" s="12" t="inlineStr">
        <is>
          <t>11 Loan (LN)</t>
        </is>
      </c>
      <c r="C71" s="10" t="inlineStr">
        <is>
          <t>Requirement</t>
        </is>
      </c>
      <c r="D71" s="12" t="inlineStr">
        <is>
          <t>ต้องเพิ่ม Guarantee</t>
        </is>
      </c>
      <c r="E71" s="11" t="inlineStr">
        <is>
          <t>ไม่มี</t>
        </is>
      </c>
      <c r="F71" s="12" t="n"/>
      <c r="G71" s="12" t="n"/>
      <c r="H71" s="12" t="n"/>
      <c r="I71" s="7" t="n"/>
    </row>
    <row r="72" hidden="1" ht="15.75" customHeight="1" s="14">
      <c r="A72" s="7" t="n">
        <v>68</v>
      </c>
      <c r="B72" s="12" t="inlineStr">
        <is>
          <t>12.1 Schedule Calculate</t>
        </is>
      </c>
      <c r="C72" s="10" t="inlineStr">
        <is>
          <t>Requirement</t>
        </is>
      </c>
      <c r="D72" s="12" t="inlineStr">
        <is>
          <t>Schedule Calculate ของแต่ละ Transaction ต้องอ้างอิงตามวิธีการคำนวณของแต่ละ Bank และต้องสามารถแก้ไขได้ เพื่อรองรับกรณีผลการคำนวณของระบบไม่ตรงกับ Bank</t>
        </is>
      </c>
      <c r="E72" s="11" t="inlineStr">
        <is>
          <t>ไม่มี</t>
        </is>
      </c>
      <c r="F72" s="12" t="n"/>
      <c r="G72" s="12" t="n"/>
      <c r="H72" s="12" t="n"/>
      <c r="I72" s="7" t="n"/>
    </row>
    <row r="73" hidden="1" ht="15.75" customHeight="1" s="14">
      <c r="A73" s="7" t="n">
        <v>69</v>
      </c>
      <c r="B73" s="12" t="inlineStr">
        <is>
          <t>12.2 GL / Accounting Mapping</t>
        </is>
      </c>
      <c r="C73" s="10" t="inlineStr">
        <is>
          <t>Requirement</t>
        </is>
      </c>
      <c r="D73" s="12" t="inlineStr">
        <is>
          <t>ต้องสรุปว่าแต่ละ Module / Transaction มี GL Template อย่างไร เพื่อใช้สำหรับ Mapping การลงบัญชีและส่งข้อมูลไป NetSuite</t>
        </is>
      </c>
      <c r="E73" s="11" t="inlineStr">
        <is>
          <t>รอตรวจสอบ</t>
        </is>
      </c>
      <c r="F73" s="12" t="inlineStr">
        <is>
          <t>รอ check netsuite</t>
        </is>
      </c>
      <c r="G73" s="12" t="n"/>
      <c r="H73" s="12" t="n"/>
      <c r="I73" s="7" t="n"/>
    </row>
    <row r="74" hidden="1" ht="15.75" customHeight="1" s="14">
      <c r="A74" s="7" t="n">
        <v>70</v>
      </c>
      <c r="B74" s="12" t="inlineStr">
        <is>
          <t>12.2 GL / Accounting Mapping</t>
        </is>
      </c>
      <c r="C74" s="10" t="inlineStr">
        <is>
          <t>Requirement</t>
        </is>
      </c>
      <c r="D74" s="12" t="inlineStr">
        <is>
          <t>NetSuite Mapping: คาดว่าจะได้รับข้อมูลเพิ่มเติมในสัปดาห์ถัดไป</t>
        </is>
      </c>
      <c r="E74" s="11" t="inlineStr">
        <is>
          <t>รอตรวจสอบ</t>
        </is>
      </c>
      <c r="F74" s="12" t="inlineStr">
        <is>
          <t>รอ check netsuite</t>
        </is>
      </c>
      <c r="G74" s="12" t="n"/>
      <c r="H74" s="12" t="n"/>
      <c r="I74" s="7" t="n"/>
    </row>
    <row r="75" hidden="1" ht="15.75" customHeight="1" s="14">
      <c r="A75" s="7" t="n">
        <v>71</v>
      </c>
      <c r="B75" s="12" t="inlineStr">
        <is>
          <t>12.3 Reconcile</t>
        </is>
      </c>
      <c r="C75" s="10" t="inlineStr">
        <is>
          <t>Requirement</t>
        </is>
      </c>
      <c r="D75" s="12" t="inlineStr">
        <is>
          <t>ต้องเพิ่ม Reconcile ในทุก Module ที่เกี่ยวข้อง เพื่อรองรับการตรวจสอบยอดระหว่างข้อมูลใน Loan &amp; Leasing กับ Bank / NetSuite</t>
        </is>
      </c>
      <c r="E75" s="11" t="inlineStr">
        <is>
          <t>มีบางส่วน</t>
        </is>
      </c>
      <c r="F75" s="12" t="n"/>
      <c r="G75" s="12" t="n"/>
      <c r="H75" s="12" t="n"/>
      <c r="I75" s="7" t="n"/>
    </row>
    <row r="76" hidden="1" ht="15.75" customHeight="1" s="14">
      <c r="A76" s="7" t="n">
        <v>72</v>
      </c>
      <c r="B76" s="12" t="inlineStr">
        <is>
          <t>12.4 Calculation Verification</t>
        </is>
      </c>
      <c r="C76" s="10" t="inlineStr">
        <is>
          <t>Requirement</t>
        </is>
      </c>
      <c r="D76" s="12" t="inlineStr">
        <is>
          <t>ต้องการเอกสารสำหรับตรวจสอบว่าสูตรคำนวณของระบบถูกต้องหรือไม่</t>
        </is>
      </c>
      <c r="E76" s="11" t="inlineStr">
        <is>
          <t>NA</t>
        </is>
      </c>
      <c r="F76" s="12" t="n"/>
      <c r="G76" s="12" t="n"/>
      <c r="H76" s="12" t="n"/>
      <c r="I76" s="7" t="n"/>
    </row>
    <row r="77" hidden="1" ht="15.75" customHeight="1" s="14">
      <c r="A77" s="7" t="n">
        <v>73</v>
      </c>
      <c r="B77" s="12" t="inlineStr">
        <is>
          <t>Pending Confirmation</t>
        </is>
      </c>
      <c r="C77" s="13" t="inlineStr">
        <is>
          <t>—</t>
        </is>
      </c>
      <c r="D77" s="12" t="inlineStr">
        <is>
          <t>ประเด็นที่ยังต้อง Confirm เพิ่มเติม ได้แก่ VAT / Cost Logic, Auto Add Chassis, Accounting &amp; GL Mapping, Vendor/Card Mapping, LC Date Logic, Exchange Rate Source, Dashboard vs Report สำหรับ Unmapped FX, Step Period / Step RV, Grace / Balloon Payment Type, Accrued Day Naming, Reconcile Rules และ Schedule Calculation ของแต่ละ Bank</t>
        </is>
      </c>
      <c r="E77" s="11" t="inlineStr">
        <is>
          <t>NA</t>
        </is>
      </c>
      <c r="F77" s="12" t="n"/>
      <c r="G77" s="12" t="n"/>
      <c r="H77" s="12" t="n"/>
      <c r="I77" s="7" t="n"/>
    </row>
    <row r="78" hidden="1" ht="15.75" customHeight="1" s="14">
      <c r="A78" s="7" t="n">
        <v>74</v>
      </c>
      <c r="B78" s="12" t="inlineStr">
        <is>
          <t>Overall Next Step</t>
        </is>
      </c>
      <c r="C78" s="13" t="inlineStr">
        <is>
          <t>—</t>
        </is>
      </c>
      <c r="D78" s="12" t="inlineStr">
        <is>
          <t>ทีมจะนำ Feedback จากการประชุมไปปรับ Prototype + Business Logic + Schedule Calculate + Reconcile + Accounting Mapping จากนั้นนำหน้าจอและ Logic ที่มีการเปลี่ยนแปลงกลับมา Reconfirm กับ MGC อีกครั้ง โดยเฉพาะ Module LC, FP, LN, PN และ Dashboard</t>
        </is>
      </c>
      <c r="E78" s="11" t="inlineStr">
        <is>
          <t>NA</t>
        </is>
      </c>
      <c r="F78" s="12" t="n"/>
      <c r="G78" s="12" t="n"/>
      <c r="H78" s="12" t="n"/>
      <c r="I78" s="7" t="n"/>
    </row>
    <row r="79" hidden="1" ht="15.75" customHeight="1" s="14">
      <c r="A79" s="7" t="n">
        <v>75</v>
      </c>
      <c r="B79" s="12" t="inlineStr">
        <is>
          <t>Overall Next Step</t>
        </is>
      </c>
      <c r="C79" s="13" t="inlineStr">
        <is>
          <t>—</t>
        </is>
      </c>
      <c r="D79" s="12" t="inlineStr">
        <is>
          <t>ส่วน NetSuite / GL Mapping จะดำเนินการต่อหลังได้รับรายละเอียด Mapping ที่คาดว่าจะส่งมาในสัปดาห์ถัดไป และจะจัดทำ Excel Calculation Reference เพื่อใช้ตรวจสอบความถูกต้องของสูตรร่วมกัน</t>
        </is>
      </c>
      <c r="E79" s="11" t="inlineStr">
        <is>
          <t>NA</t>
        </is>
      </c>
      <c r="F79" s="12" t="n"/>
      <c r="G79" s="12" t="n"/>
      <c r="H79" s="12" t="n"/>
      <c r="I79" s="7" t="n"/>
    </row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$A$4:$I$79">
    <filterColumn colId="4" hiddenButton="0" showButton="1">
      <filters/>
    </filterColumn>
  </autoFilter>
  <dataValidations count="3">
    <dataValidation sqref="G10:G11 G18 G30" showDropDown="0" showInputMessage="0" showErrorMessage="0" allowBlank="1" type="list">
      <formula1>"Open,In Progress,Done,Pending,Dropped"</formula1>
    </dataValidation>
    <dataValidation sqref="G5:G9 G12:G17 G19:G29 G31:G79" showDropDown="0" showInputMessage="0" showErrorMessage="0" allowBlank="1" type="list">
      <formula1>"Open,In Progress,Done,Pending,Dropped"</formula1>
    </dataValidation>
    <dataValidation sqref="E5:E79" showDropDown="0" showInputMessage="0" showErrorMessage="0" allowBlank="1" type="list">
      <formula1>"มี,ไม่มี,รอตรวจสอบ,มีบางส่วน,NA"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style="14" min="1" max="1"/>
    <col width="12" customWidth="1" style="14" min="2" max="2"/>
    <col width="12" customWidth="1" style="14" min="3" max="3"/>
    <col width="12" customWidth="1" style="14" min="4" max="4"/>
    <col width="12" customWidth="1" style="14" min="5" max="5"/>
    <col width="12" customWidth="1" style="14" min="6" max="6"/>
    <col width="12" customWidth="1" style="14" min="7" max="7"/>
  </cols>
  <sheetData>
    <row r="1">
      <c r="A1" s="15" t="inlineStr">
        <is>
          <t>สรุปสถานะ "มีใน BRD?" — MGC Loan &amp; Leasing</t>
        </is>
      </c>
    </row>
    <row r="2">
      <c r="A2" s="36" t="inlineStr">
        <is>
          <t>อัปเดตอัตโนมัติจากหน้า MoM Requirements (ใช้สูตร COUNTIF) — แก้สถานะหน้า detail แล้วตัวเลขที่นี่เปลี่ยนตาม</t>
        </is>
      </c>
    </row>
    <row r="4">
      <c r="A4" s="17" t="inlineStr">
        <is>
          <t>ภาพรวมทั้งระบบ</t>
        </is>
      </c>
    </row>
    <row r="5">
      <c r="A5" s="18" t="inlineStr">
        <is>
          <t>สถานะ</t>
        </is>
      </c>
      <c r="B5" s="18" t="inlineStr">
        <is>
          <t>จำนวน</t>
        </is>
      </c>
      <c r="C5" s="18" t="inlineStr">
        <is>
          <t>สัดส่วน</t>
        </is>
      </c>
    </row>
    <row r="6">
      <c r="A6" s="19" t="inlineStr">
        <is>
          <t>มี</t>
        </is>
      </c>
      <c r="B6" s="20">
        <f>COUNTIF('MoM Requirements'!$E$5:$E$79,A6)</f>
        <v/>
      </c>
      <c r="C6" s="21">
        <f>IF($B$11=0,0,B6/$B$11)</f>
        <v/>
      </c>
    </row>
    <row r="7">
      <c r="A7" s="22" t="inlineStr">
        <is>
          <t>มีบางส่วน</t>
        </is>
      </c>
      <c r="B7" s="20">
        <f>COUNTIF('MoM Requirements'!$E$5:$E$79,A7)</f>
        <v/>
      </c>
      <c r="C7" s="21">
        <f>IF($B$11=0,0,B7/$B$11)</f>
        <v/>
      </c>
    </row>
    <row r="8">
      <c r="A8" s="23" t="inlineStr">
        <is>
          <t>ไม่มี</t>
        </is>
      </c>
      <c r="B8" s="20">
        <f>COUNTIF('MoM Requirements'!$E$5:$E$79,A8)</f>
        <v/>
      </c>
      <c r="C8" s="21">
        <f>IF($B$11=0,0,B8/$B$11)</f>
        <v/>
      </c>
    </row>
    <row r="9">
      <c r="A9" s="24" t="inlineStr">
        <is>
          <t>รอตรวจสอบ</t>
        </is>
      </c>
      <c r="B9" s="20">
        <f>COUNTIF('MoM Requirements'!$E$5:$E$79,A9)</f>
        <v/>
      </c>
      <c r="C9" s="21">
        <f>IF($B$11=0,0,B9/$B$11)</f>
        <v/>
      </c>
    </row>
    <row r="10">
      <c r="A10" s="25" t="inlineStr">
        <is>
          <t>NA</t>
        </is>
      </c>
      <c r="B10" s="20">
        <f>COUNTIF('MoM Requirements'!$E$5:$E$79,A10)</f>
        <v/>
      </c>
      <c r="C10" s="21">
        <f>IF($B$11=0,0,B10/$B$11)</f>
        <v/>
      </c>
    </row>
    <row r="11">
      <c r="A11" s="26" t="inlineStr">
        <is>
          <t>รวม</t>
        </is>
      </c>
      <c r="B11" s="27">
        <f>SUM(B6:B10)</f>
        <v/>
      </c>
      <c r="C11" s="28">
        <f>SUM(C6:C10)</f>
        <v/>
      </c>
    </row>
    <row r="13">
      <c r="A13" s="17" t="inlineStr">
        <is>
          <t>แยกตามหัวข้อ (Module)</t>
        </is>
      </c>
    </row>
    <row r="14">
      <c r="A14" s="29" t="inlineStr">
        <is>
          <t>หัวข้อ (Module)</t>
        </is>
      </c>
      <c r="B14" s="29" t="inlineStr">
        <is>
          <t>มี</t>
        </is>
      </c>
      <c r="C14" s="29" t="inlineStr">
        <is>
          <t>มีบางส่วน</t>
        </is>
      </c>
      <c r="D14" s="29" t="inlineStr">
        <is>
          <t>ไม่มี</t>
        </is>
      </c>
      <c r="E14" s="29" t="inlineStr">
        <is>
          <t>รอตรวจสอบ</t>
        </is>
      </c>
      <c r="F14" s="29" t="inlineStr">
        <is>
          <t>NA</t>
        </is>
      </c>
      <c r="G14" s="29" t="inlineStr">
        <is>
          <t>รวม</t>
        </is>
      </c>
    </row>
    <row r="15">
      <c r="A15" s="30" t="inlineStr">
        <is>
          <t>1 Dashboard</t>
        </is>
      </c>
      <c r="B15" s="31">
        <f>COUNTIFS('MoM Requirements'!$B$5:$B$79,$A15,'MoM Requirements'!$E$5:$E$79,B$14)</f>
        <v/>
      </c>
      <c r="C15" s="33">
        <f>COUNTIFS('MoM Requirements'!$B$5:$B$79,$A15,'MoM Requirements'!$E$5:$E$79,C$14)</f>
        <v/>
      </c>
      <c r="D15" s="32">
        <f>COUNTIFS('MoM Requirements'!$B$5:$B$79,$A15,'MoM Requirements'!$E$5:$E$79,D$14)</f>
        <v/>
      </c>
      <c r="E15" s="34">
        <f>COUNTIFS('MoM Requirements'!$B$5:$B$79,$A15,'MoM Requirements'!$E$5:$E$79,E$14)</f>
        <v/>
      </c>
      <c r="F15" s="35">
        <f>COUNTIFS('MoM Requirements'!$B$5:$B$79,$A15,'MoM Requirements'!$E$5:$E$79,F$14)</f>
        <v/>
      </c>
      <c r="G15" s="27">
        <f>SUM(B15:F15)</f>
        <v/>
      </c>
    </row>
    <row r="16">
      <c r="A16" s="30" t="inlineStr">
        <is>
          <t>2 Master Agreement (MA)</t>
        </is>
      </c>
      <c r="B16" s="31">
        <f>COUNTIFS('MoM Requirements'!$B$5:$B$79,$A16,'MoM Requirements'!$E$5:$E$79,B$14)</f>
        <v/>
      </c>
      <c r="C16" s="33">
        <f>COUNTIFS('MoM Requirements'!$B$5:$B$79,$A16,'MoM Requirements'!$E$5:$E$79,C$14)</f>
        <v/>
      </c>
      <c r="D16" s="32">
        <f>COUNTIFS('MoM Requirements'!$B$5:$B$79,$A16,'MoM Requirements'!$E$5:$E$79,D$14)</f>
        <v/>
      </c>
      <c r="E16" s="34">
        <f>COUNTIFS('MoM Requirements'!$B$5:$B$79,$A16,'MoM Requirements'!$E$5:$E$79,E$14)</f>
        <v/>
      </c>
      <c r="F16" s="35">
        <f>COUNTIFS('MoM Requirements'!$B$5:$B$79,$A16,'MoM Requirements'!$E$5:$E$79,F$14)</f>
        <v/>
      </c>
      <c r="G16" s="27">
        <f>SUM(B16:F16)</f>
        <v/>
      </c>
    </row>
    <row r="17">
      <c r="A17" s="30" t="inlineStr">
        <is>
          <t>3 Credit Agreement (CA)</t>
        </is>
      </c>
      <c r="B17" s="31">
        <f>COUNTIFS('MoM Requirements'!$B$5:$B$79,$A17,'MoM Requirements'!$E$5:$E$79,B$14)</f>
        <v/>
      </c>
      <c r="C17" s="33">
        <f>COUNTIFS('MoM Requirements'!$B$5:$B$79,$A17,'MoM Requirements'!$E$5:$E$79,C$14)</f>
        <v/>
      </c>
      <c r="D17" s="32">
        <f>COUNTIFS('MoM Requirements'!$B$5:$B$79,$A17,'MoM Requirements'!$E$5:$E$79,D$14)</f>
        <v/>
      </c>
      <c r="E17" s="34">
        <f>COUNTIFS('MoM Requirements'!$B$5:$B$79,$A17,'MoM Requirements'!$E$5:$E$79,E$14)</f>
        <v/>
      </c>
      <c r="F17" s="35">
        <f>COUNTIFS('MoM Requirements'!$B$5:$B$79,$A17,'MoM Requirements'!$E$5:$E$79,F$14)</f>
        <v/>
      </c>
      <c r="G17" s="27">
        <f>SUM(B17:F17)</f>
        <v/>
      </c>
    </row>
    <row r="18">
      <c r="A18" s="30" t="inlineStr">
        <is>
          <t>4 Promissory Note (PN)</t>
        </is>
      </c>
      <c r="B18" s="31">
        <f>COUNTIFS('MoM Requirements'!$B$5:$B$79,$A18,'MoM Requirements'!$E$5:$E$79,B$14)</f>
        <v/>
      </c>
      <c r="C18" s="33">
        <f>COUNTIFS('MoM Requirements'!$B$5:$B$79,$A18,'MoM Requirements'!$E$5:$E$79,C$14)</f>
        <v/>
      </c>
      <c r="D18" s="32">
        <f>COUNTIFS('MoM Requirements'!$B$5:$B$79,$A18,'MoM Requirements'!$E$5:$E$79,D$14)</f>
        <v/>
      </c>
      <c r="E18" s="34">
        <f>COUNTIFS('MoM Requirements'!$B$5:$B$79,$A18,'MoM Requirements'!$E$5:$E$79,E$14)</f>
        <v/>
      </c>
      <c r="F18" s="35">
        <f>COUNTIFS('MoM Requirements'!$B$5:$B$79,$A18,'MoM Requirements'!$E$5:$E$79,F$14)</f>
        <v/>
      </c>
      <c r="G18" s="27">
        <f>SUM(B18:F18)</f>
        <v/>
      </c>
    </row>
    <row r="19">
      <c r="A19" s="30" t="inlineStr">
        <is>
          <t>5 RP</t>
        </is>
      </c>
      <c r="B19" s="31">
        <f>COUNTIFS('MoM Requirements'!$B$5:$B$79,$A19,'MoM Requirements'!$E$5:$E$79,B$14)</f>
        <v/>
      </c>
      <c r="C19" s="33">
        <f>COUNTIFS('MoM Requirements'!$B$5:$B$79,$A19,'MoM Requirements'!$E$5:$E$79,C$14)</f>
        <v/>
      </c>
      <c r="D19" s="32">
        <f>COUNTIFS('MoM Requirements'!$B$5:$B$79,$A19,'MoM Requirements'!$E$5:$E$79,D$14)</f>
        <v/>
      </c>
      <c r="E19" s="34">
        <f>COUNTIFS('MoM Requirements'!$B$5:$B$79,$A19,'MoM Requirements'!$E$5:$E$79,E$14)</f>
        <v/>
      </c>
      <c r="F19" s="35">
        <f>COUNTIFS('MoM Requirements'!$B$5:$B$79,$A19,'MoM Requirements'!$E$5:$E$79,F$14)</f>
        <v/>
      </c>
      <c r="G19" s="27">
        <f>SUM(B19:F19)</f>
        <v/>
      </c>
    </row>
    <row r="20">
      <c r="A20" s="30" t="inlineStr">
        <is>
          <t>6 Journal Entry (JE)</t>
        </is>
      </c>
      <c r="B20" s="31">
        <f>COUNTIFS('MoM Requirements'!$B$5:$B$79,$A20,'MoM Requirements'!$E$5:$E$79,B$14)</f>
        <v/>
      </c>
      <c r="C20" s="33">
        <f>COUNTIFS('MoM Requirements'!$B$5:$B$79,$A20,'MoM Requirements'!$E$5:$E$79,C$14)</f>
        <v/>
      </c>
      <c r="D20" s="32">
        <f>COUNTIFS('MoM Requirements'!$B$5:$B$79,$A20,'MoM Requirements'!$E$5:$E$79,D$14)</f>
        <v/>
      </c>
      <c r="E20" s="34">
        <f>COUNTIFS('MoM Requirements'!$B$5:$B$79,$A20,'MoM Requirements'!$E$5:$E$79,E$14)</f>
        <v/>
      </c>
      <c r="F20" s="35">
        <f>COUNTIFS('MoM Requirements'!$B$5:$B$79,$A20,'MoM Requirements'!$E$5:$E$79,F$14)</f>
        <v/>
      </c>
      <c r="G20" s="27">
        <f>SUM(B20:F20)</f>
        <v/>
      </c>
    </row>
    <row r="21">
      <c r="A21" s="30" t="inlineStr">
        <is>
          <t>7 LG / BG</t>
        </is>
      </c>
      <c r="B21" s="31">
        <f>COUNTIFS('MoM Requirements'!$B$5:$B$79,$A21,'MoM Requirements'!$E$5:$E$79,B$14)</f>
        <v/>
      </c>
      <c r="C21" s="33">
        <f>COUNTIFS('MoM Requirements'!$B$5:$B$79,$A21,'MoM Requirements'!$E$5:$E$79,C$14)</f>
        <v/>
      </c>
      <c r="D21" s="32">
        <f>COUNTIFS('MoM Requirements'!$B$5:$B$79,$A21,'MoM Requirements'!$E$5:$E$79,D$14)</f>
        <v/>
      </c>
      <c r="E21" s="34">
        <f>COUNTIFS('MoM Requirements'!$B$5:$B$79,$A21,'MoM Requirements'!$E$5:$E$79,E$14)</f>
        <v/>
      </c>
      <c r="F21" s="35">
        <f>COUNTIFS('MoM Requirements'!$B$5:$B$79,$A21,'MoM Requirements'!$E$5:$E$79,F$14)</f>
        <v/>
      </c>
      <c r="G21" s="27">
        <f>SUM(B21:F21)</f>
        <v/>
      </c>
    </row>
    <row r="22">
      <c r="A22" s="30" t="inlineStr">
        <is>
          <t>8 Letter of Credit (LC)</t>
        </is>
      </c>
      <c r="B22" s="31">
        <f>COUNTIFS('MoM Requirements'!$B$5:$B$79,$A22,'MoM Requirements'!$E$5:$E$79,B$14)</f>
        <v/>
      </c>
      <c r="C22" s="33">
        <f>COUNTIFS('MoM Requirements'!$B$5:$B$79,$A22,'MoM Requirements'!$E$5:$E$79,C$14)</f>
        <v/>
      </c>
      <c r="D22" s="32">
        <f>COUNTIFS('MoM Requirements'!$B$5:$B$79,$A22,'MoM Requirements'!$E$5:$E$79,D$14)</f>
        <v/>
      </c>
      <c r="E22" s="34">
        <f>COUNTIFS('MoM Requirements'!$B$5:$B$79,$A22,'MoM Requirements'!$E$5:$E$79,E$14)</f>
        <v/>
      </c>
      <c r="F22" s="35">
        <f>COUNTIFS('MoM Requirements'!$B$5:$B$79,$A22,'MoM Requirements'!$E$5:$E$79,F$14)</f>
        <v/>
      </c>
      <c r="G22" s="27">
        <f>SUM(B22:F22)</f>
        <v/>
      </c>
    </row>
    <row r="23">
      <c r="A23" s="30" t="inlineStr">
        <is>
          <t>9 Floor Plan (FP)</t>
        </is>
      </c>
      <c r="B23" s="31">
        <f>COUNTIFS('MoM Requirements'!$B$5:$B$79,$A23,'MoM Requirements'!$E$5:$E$79,B$14)</f>
        <v/>
      </c>
      <c r="C23" s="33">
        <f>COUNTIFS('MoM Requirements'!$B$5:$B$79,$A23,'MoM Requirements'!$E$5:$E$79,C$14)</f>
        <v/>
      </c>
      <c r="D23" s="32">
        <f>COUNTIFS('MoM Requirements'!$B$5:$B$79,$A23,'MoM Requirements'!$E$5:$E$79,D$14)</f>
        <v/>
      </c>
      <c r="E23" s="34">
        <f>COUNTIFS('MoM Requirements'!$B$5:$B$79,$A23,'MoM Requirements'!$E$5:$E$79,E$14)</f>
        <v/>
      </c>
      <c r="F23" s="35">
        <f>COUNTIFS('MoM Requirements'!$B$5:$B$79,$A23,'MoM Requirements'!$E$5:$E$79,F$14)</f>
        <v/>
      </c>
      <c r="G23" s="27">
        <f>SUM(B23:F23)</f>
        <v/>
      </c>
    </row>
    <row r="24">
      <c r="A24" s="30" t="inlineStr">
        <is>
          <t>10 Overdraft (OD)</t>
        </is>
      </c>
      <c r="B24" s="31">
        <f>COUNTIFS('MoM Requirements'!$B$5:$B$79,$A24,'MoM Requirements'!$E$5:$E$79,B$14)</f>
        <v/>
      </c>
      <c r="C24" s="33">
        <f>COUNTIFS('MoM Requirements'!$B$5:$B$79,$A24,'MoM Requirements'!$E$5:$E$79,C$14)</f>
        <v/>
      </c>
      <c r="D24" s="32">
        <f>COUNTIFS('MoM Requirements'!$B$5:$B$79,$A24,'MoM Requirements'!$E$5:$E$79,D$14)</f>
        <v/>
      </c>
      <c r="E24" s="34">
        <f>COUNTIFS('MoM Requirements'!$B$5:$B$79,$A24,'MoM Requirements'!$E$5:$E$79,E$14)</f>
        <v/>
      </c>
      <c r="F24" s="35">
        <f>COUNTIFS('MoM Requirements'!$B$5:$B$79,$A24,'MoM Requirements'!$E$5:$E$79,F$14)</f>
        <v/>
      </c>
      <c r="G24" s="27">
        <f>SUM(B24:F24)</f>
        <v/>
      </c>
    </row>
    <row r="25">
      <c r="A25" s="30" t="inlineStr">
        <is>
          <t>11 Loan (LN)</t>
        </is>
      </c>
      <c r="B25" s="31">
        <f>COUNTIFS('MoM Requirements'!$B$5:$B$79,$A25,'MoM Requirements'!$E$5:$E$79,B$14)</f>
        <v/>
      </c>
      <c r="C25" s="33">
        <f>COUNTIFS('MoM Requirements'!$B$5:$B$79,$A25,'MoM Requirements'!$E$5:$E$79,C$14)</f>
        <v/>
      </c>
      <c r="D25" s="32">
        <f>COUNTIFS('MoM Requirements'!$B$5:$B$79,$A25,'MoM Requirements'!$E$5:$E$79,D$14)</f>
        <v/>
      </c>
      <c r="E25" s="34">
        <f>COUNTIFS('MoM Requirements'!$B$5:$B$79,$A25,'MoM Requirements'!$E$5:$E$79,E$14)</f>
        <v/>
      </c>
      <c r="F25" s="35">
        <f>COUNTIFS('MoM Requirements'!$B$5:$B$79,$A25,'MoM Requirements'!$E$5:$E$79,F$14)</f>
        <v/>
      </c>
      <c r="G25" s="27">
        <f>SUM(B25:F25)</f>
        <v/>
      </c>
    </row>
    <row r="26">
      <c r="A26" s="30" t="inlineStr">
        <is>
          <t>12.1 Schedule Calculate</t>
        </is>
      </c>
      <c r="B26" s="31">
        <f>COUNTIFS('MoM Requirements'!$B$5:$B$79,$A26,'MoM Requirements'!$E$5:$E$79,B$14)</f>
        <v/>
      </c>
      <c r="C26" s="33">
        <f>COUNTIFS('MoM Requirements'!$B$5:$B$79,$A26,'MoM Requirements'!$E$5:$E$79,C$14)</f>
        <v/>
      </c>
      <c r="D26" s="32">
        <f>COUNTIFS('MoM Requirements'!$B$5:$B$79,$A26,'MoM Requirements'!$E$5:$E$79,D$14)</f>
        <v/>
      </c>
      <c r="E26" s="34">
        <f>COUNTIFS('MoM Requirements'!$B$5:$B$79,$A26,'MoM Requirements'!$E$5:$E$79,E$14)</f>
        <v/>
      </c>
      <c r="F26" s="35">
        <f>COUNTIFS('MoM Requirements'!$B$5:$B$79,$A26,'MoM Requirements'!$E$5:$E$79,F$14)</f>
        <v/>
      </c>
      <c r="G26" s="27">
        <f>SUM(B26:F26)</f>
        <v/>
      </c>
    </row>
    <row r="27">
      <c r="A27" s="30" t="inlineStr">
        <is>
          <t>12.2 GL / Accounting Mapping</t>
        </is>
      </c>
      <c r="B27" s="31">
        <f>COUNTIFS('MoM Requirements'!$B$5:$B$79,$A27,'MoM Requirements'!$E$5:$E$79,B$14)</f>
        <v/>
      </c>
      <c r="C27" s="33">
        <f>COUNTIFS('MoM Requirements'!$B$5:$B$79,$A27,'MoM Requirements'!$E$5:$E$79,C$14)</f>
        <v/>
      </c>
      <c r="D27" s="32">
        <f>COUNTIFS('MoM Requirements'!$B$5:$B$79,$A27,'MoM Requirements'!$E$5:$E$79,D$14)</f>
        <v/>
      </c>
      <c r="E27" s="34">
        <f>COUNTIFS('MoM Requirements'!$B$5:$B$79,$A27,'MoM Requirements'!$E$5:$E$79,E$14)</f>
        <v/>
      </c>
      <c r="F27" s="35">
        <f>COUNTIFS('MoM Requirements'!$B$5:$B$79,$A27,'MoM Requirements'!$E$5:$E$79,F$14)</f>
        <v/>
      </c>
      <c r="G27" s="27">
        <f>SUM(B27:F27)</f>
        <v/>
      </c>
    </row>
    <row r="28">
      <c r="A28" s="30" t="inlineStr">
        <is>
          <t>12.3 Reconcile</t>
        </is>
      </c>
      <c r="B28" s="31">
        <f>COUNTIFS('MoM Requirements'!$B$5:$B$79,$A28,'MoM Requirements'!$E$5:$E$79,B$14)</f>
        <v/>
      </c>
      <c r="C28" s="33">
        <f>COUNTIFS('MoM Requirements'!$B$5:$B$79,$A28,'MoM Requirements'!$E$5:$E$79,C$14)</f>
        <v/>
      </c>
      <c r="D28" s="32">
        <f>COUNTIFS('MoM Requirements'!$B$5:$B$79,$A28,'MoM Requirements'!$E$5:$E$79,D$14)</f>
        <v/>
      </c>
      <c r="E28" s="34">
        <f>COUNTIFS('MoM Requirements'!$B$5:$B$79,$A28,'MoM Requirements'!$E$5:$E$79,E$14)</f>
        <v/>
      </c>
      <c r="F28" s="35">
        <f>COUNTIFS('MoM Requirements'!$B$5:$B$79,$A28,'MoM Requirements'!$E$5:$E$79,F$14)</f>
        <v/>
      </c>
      <c r="G28" s="27">
        <f>SUM(B28:F28)</f>
        <v/>
      </c>
    </row>
    <row r="29">
      <c r="A29" s="30" t="inlineStr">
        <is>
          <t>12.4 Calculation Verification</t>
        </is>
      </c>
      <c r="B29" s="31">
        <f>COUNTIFS('MoM Requirements'!$B$5:$B$79,$A29,'MoM Requirements'!$E$5:$E$79,B$14)</f>
        <v/>
      </c>
      <c r="C29" s="33">
        <f>COUNTIFS('MoM Requirements'!$B$5:$B$79,$A29,'MoM Requirements'!$E$5:$E$79,C$14)</f>
        <v/>
      </c>
      <c r="D29" s="32">
        <f>COUNTIFS('MoM Requirements'!$B$5:$B$79,$A29,'MoM Requirements'!$E$5:$E$79,D$14)</f>
        <v/>
      </c>
      <c r="E29" s="34">
        <f>COUNTIFS('MoM Requirements'!$B$5:$B$79,$A29,'MoM Requirements'!$E$5:$E$79,E$14)</f>
        <v/>
      </c>
      <c r="F29" s="35">
        <f>COUNTIFS('MoM Requirements'!$B$5:$B$79,$A29,'MoM Requirements'!$E$5:$E$79,F$14)</f>
        <v/>
      </c>
      <c r="G29" s="27">
        <f>SUM(B29:F29)</f>
        <v/>
      </c>
    </row>
    <row r="30">
      <c r="A30" s="30" t="inlineStr">
        <is>
          <t>Pending Confirmation</t>
        </is>
      </c>
      <c r="B30" s="31">
        <f>COUNTIFS('MoM Requirements'!$B$5:$B$79,$A30,'MoM Requirements'!$E$5:$E$79,B$14)</f>
        <v/>
      </c>
      <c r="C30" s="33">
        <f>COUNTIFS('MoM Requirements'!$B$5:$B$79,$A30,'MoM Requirements'!$E$5:$E$79,C$14)</f>
        <v/>
      </c>
      <c r="D30" s="32">
        <f>COUNTIFS('MoM Requirements'!$B$5:$B$79,$A30,'MoM Requirements'!$E$5:$E$79,D$14)</f>
        <v/>
      </c>
      <c r="E30" s="34">
        <f>COUNTIFS('MoM Requirements'!$B$5:$B$79,$A30,'MoM Requirements'!$E$5:$E$79,E$14)</f>
        <v/>
      </c>
      <c r="F30" s="35">
        <f>COUNTIFS('MoM Requirements'!$B$5:$B$79,$A30,'MoM Requirements'!$E$5:$E$79,F$14)</f>
        <v/>
      </c>
      <c r="G30" s="27">
        <f>SUM(B30:F30)</f>
        <v/>
      </c>
    </row>
    <row r="31">
      <c r="A31" s="30" t="inlineStr">
        <is>
          <t>Overall Next Step</t>
        </is>
      </c>
      <c r="B31" s="31">
        <f>COUNTIFS('MoM Requirements'!$B$5:$B$79,$A31,'MoM Requirements'!$E$5:$E$79,B$14)</f>
        <v/>
      </c>
      <c r="C31" s="33">
        <f>COUNTIFS('MoM Requirements'!$B$5:$B$79,$A31,'MoM Requirements'!$E$5:$E$79,C$14)</f>
        <v/>
      </c>
      <c r="D31" s="32">
        <f>COUNTIFS('MoM Requirements'!$B$5:$B$79,$A31,'MoM Requirements'!$E$5:$E$79,D$14)</f>
        <v/>
      </c>
      <c r="E31" s="34">
        <f>COUNTIFS('MoM Requirements'!$B$5:$B$79,$A31,'MoM Requirements'!$E$5:$E$79,E$14)</f>
        <v/>
      </c>
      <c r="F31" s="35">
        <f>COUNTIFS('MoM Requirements'!$B$5:$B$79,$A31,'MoM Requirements'!$E$5:$E$79,F$14)</f>
        <v/>
      </c>
      <c r="G31" s="27">
        <f>SUM(B31:F31)</f>
        <v/>
      </c>
    </row>
    <row r="32">
      <c r="A32" s="26" t="inlineStr">
        <is>
          <t>รวม</t>
        </is>
      </c>
      <c r="B32" s="27">
        <f>SUM(B15:B31)</f>
        <v/>
      </c>
      <c r="C32" s="27">
        <f>SUM(C15:C31)</f>
        <v/>
      </c>
      <c r="D32" s="27">
        <f>SUM(D15:D31)</f>
        <v/>
      </c>
      <c r="E32" s="27">
        <f>SUM(E15:E31)</f>
        <v/>
      </c>
      <c r="F32" s="27">
        <f>SUM(F15:F31)</f>
        <v/>
      </c>
      <c r="G32" s="27">
        <f>SUM(G15:G31)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14" min="1" max="1"/>
    <col width="10" customWidth="1" style="14" min="2" max="2"/>
    <col width="8.710000000000001" customWidth="1" style="14" min="3" max="26"/>
  </cols>
  <sheetData>
    <row r="1">
      <c r="A1" s="1" t="inlineStr">
        <is>
          <t>สรุปจำนวน Requirement ต่อหัวข้อ</t>
        </is>
      </c>
    </row>
    <row r="3">
      <c r="A3" s="5" t="inlineStr">
        <is>
          <t>หัวข้อ (Module)</t>
        </is>
      </c>
      <c r="B3" s="5" t="inlineStr">
        <is>
          <t>จำนวน</t>
        </is>
      </c>
    </row>
    <row r="4">
      <c r="A4" s="6" t="inlineStr">
        <is>
          <t>1 Dashboard</t>
        </is>
      </c>
      <c r="B4" s="8" t="n">
        <v>5</v>
      </c>
    </row>
    <row r="5">
      <c r="A5" s="6" t="inlineStr">
        <is>
          <t>2 Master Agreement (MA)</t>
        </is>
      </c>
      <c r="B5" s="8" t="n">
        <v>7</v>
      </c>
    </row>
    <row r="6">
      <c r="A6" s="6" t="inlineStr">
        <is>
          <t>3 Credit Agreement (CA)</t>
        </is>
      </c>
      <c r="B6" s="8" t="n">
        <v>7</v>
      </c>
    </row>
    <row r="7">
      <c r="A7" s="6" t="inlineStr">
        <is>
          <t>4 Promissory Note (PN)</t>
        </is>
      </c>
      <c r="B7" s="8" t="n">
        <v>8</v>
      </c>
    </row>
    <row r="8">
      <c r="A8" s="6" t="inlineStr">
        <is>
          <t>5 RP</t>
        </is>
      </c>
      <c r="B8" s="8" t="n">
        <v>2</v>
      </c>
    </row>
    <row r="9">
      <c r="A9" s="6" t="inlineStr">
        <is>
          <t>6 Journal Entry (JE)</t>
        </is>
      </c>
      <c r="B9" s="8" t="n">
        <v>2</v>
      </c>
    </row>
    <row r="10">
      <c r="A10" s="6" t="inlineStr">
        <is>
          <t>7 LG / BG</t>
        </is>
      </c>
      <c r="B10" s="8" t="n">
        <v>2</v>
      </c>
    </row>
    <row r="11">
      <c r="A11" s="6" t="inlineStr">
        <is>
          <t>8 Letter of Credit (LC)</t>
        </is>
      </c>
      <c r="B11" s="8" t="n">
        <v>12</v>
      </c>
    </row>
    <row r="12">
      <c r="A12" s="6" t="inlineStr">
        <is>
          <t>9 Floor Plan (FP)</t>
        </is>
      </c>
      <c r="B12" s="8" t="n">
        <v>8</v>
      </c>
    </row>
    <row r="13">
      <c r="A13" s="6" t="inlineStr">
        <is>
          <t>10 Overdraft (OD)</t>
        </is>
      </c>
      <c r="B13" s="8" t="n">
        <v>4</v>
      </c>
    </row>
    <row r="14">
      <c r="A14" s="6" t="inlineStr">
        <is>
          <t>11 Loan (LN)</t>
        </is>
      </c>
      <c r="B14" s="8" t="n">
        <v>10</v>
      </c>
    </row>
    <row r="15">
      <c r="A15" s="6" t="inlineStr">
        <is>
          <t>12.1 Schedule Calculate</t>
        </is>
      </c>
      <c r="B15" s="8" t="n">
        <v>1</v>
      </c>
    </row>
    <row r="16">
      <c r="A16" s="6" t="inlineStr">
        <is>
          <t>12.2 GL / Accounting Mapping</t>
        </is>
      </c>
      <c r="B16" s="8" t="n">
        <v>2</v>
      </c>
    </row>
    <row r="17">
      <c r="A17" s="6" t="inlineStr">
        <is>
          <t>12.3 Reconcile</t>
        </is>
      </c>
      <c r="B17" s="8" t="n">
        <v>1</v>
      </c>
    </row>
    <row r="18">
      <c r="A18" s="6" t="inlineStr">
        <is>
          <t>12.4 Calculation Verification</t>
        </is>
      </c>
      <c r="B18" s="8" t="n">
        <v>1</v>
      </c>
    </row>
    <row r="19">
      <c r="A19" s="6" t="inlineStr">
        <is>
          <t>Pending Confirmation</t>
        </is>
      </c>
      <c r="B19" s="8" t="n">
        <v>1</v>
      </c>
    </row>
    <row r="20">
      <c r="A20" s="6" t="inlineStr">
        <is>
          <t>Overall Next Step</t>
        </is>
      </c>
      <c r="B20" s="8" t="n">
        <v>2</v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2026-10-01T05:45:47Z</dcterms:created>
  <dcterms:modified xmlns:dcterms="http://purl.org/dc/terms/" xmlns:xsi="http://www.w3.org/2001/XMLSchema-instance" xsi:type="dcterms:W3CDTF">2026-10-01T06:12:36Z</dcterms:modified>
</cp:coreProperties>
</file>