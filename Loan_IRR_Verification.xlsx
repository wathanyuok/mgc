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I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yyyy-mm-dd"/>
    <numFmt numFmtId="166" formatCode="DD/MM/YYYY"/>
    <numFmt numFmtId="167" formatCode="0.00000000"/>
    <numFmt numFmtId="168" formatCode="0.0000%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sz val="9"/>
    </font>
    <font>
      <b val="1"/>
      <color rgb="0016A34A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CFCE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6" fontId="0" fillId="2" borderId="1" pivotButton="0" quotePrefix="0" xfId="0"/>
    <xf numFmtId="167" fontId="0" fillId="0" borderId="0" pivotButton="0" quotePrefix="0" xfId="0"/>
    <xf numFmtId="4" fontId="0" fillId="3" borderId="0" pivotButton="0" quotePrefix="0" xfId="0"/>
    <xf numFmtId="0" fontId="4" fillId="0" borderId="0" pivotButton="0" quotePrefix="0" xfId="0"/>
    <xf numFmtId="168" fontId="2" fillId="3" borderId="0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/>
    </xf>
    <xf numFmtId="168" fontId="0" fillId="0" borderId="0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7" customWidth="1" min="4" max="4"/>
    <col width="10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30" customWidth="1" min="12" max="12"/>
    <col width="16" customWidth="1" min="13" max="13"/>
  </cols>
  <sheetData>
    <row r="1">
      <c r="A1" s="1" t="inlineStr">
        <is>
          <t>Loan — IRR / Effective Rate Verification (reproduce ระบบ)</t>
        </is>
      </c>
      <c r="L1" s="2" t="inlineStr">
        <is>
          <t>INPUT</t>
        </is>
      </c>
    </row>
    <row r="2">
      <c r="L2" s="3" t="inlineStr">
        <is>
          <t>Principal (เงินกู้)</t>
        </is>
      </c>
      <c r="M2" s="4" t="n">
        <v>1000000</v>
      </c>
    </row>
    <row r="3">
      <c r="L3" s="3" t="inlineStr">
        <is>
          <t>Annual Rate (%/ปี)</t>
        </is>
      </c>
      <c r="M3" s="5" t="n">
        <v>6</v>
      </c>
    </row>
    <row r="4">
      <c r="L4" s="3" t="inlineStr">
        <is>
          <t>Term (เดือน)</t>
        </is>
      </c>
      <c r="M4" s="6" t="n">
        <v>24</v>
      </c>
    </row>
    <row r="5">
      <c r="L5" s="3" t="inlineStr">
        <is>
          <t>Start/Drawdown Date</t>
        </is>
      </c>
      <c r="M5" s="7" t="n">
        <v>46023</v>
      </c>
    </row>
    <row r="6">
      <c r="L6" s="3" t="inlineStr">
        <is>
          <t>Monthly rate = Annual ÷ 12</t>
        </is>
      </c>
      <c r="M6" s="8">
        <f>M3/100/12</f>
        <v/>
      </c>
    </row>
    <row r="7">
      <c r="L7" s="3" t="inlineStr">
        <is>
          <t>Level Installment (PMT)</t>
        </is>
      </c>
      <c r="M7" s="9">
        <f>-PMT(M6,M4,M2,0)</f>
        <v/>
      </c>
    </row>
    <row r="9">
      <c r="L9" s="10" t="inlineStr">
        <is>
          <t>ผลลัพธ์ IRR</t>
        </is>
      </c>
    </row>
    <row r="10">
      <c r="L10" s="3" t="inlineStr">
        <is>
          <t>IRR / Month (ต่อเดือน)</t>
        </is>
      </c>
      <c r="M10" s="11">
        <f>IRR(J13:J73,M6)</f>
        <v/>
      </c>
    </row>
    <row r="11">
      <c r="L11" s="3" t="inlineStr">
        <is>
          <t>IRR / Year — Effective (1+i)^12−1</t>
        </is>
      </c>
      <c r="M11" s="11">
        <f>(1+M10)^12-1</f>
        <v/>
      </c>
    </row>
    <row r="12">
      <c r="A12" s="12" t="inlineStr">
        <is>
          <t>Period</t>
        </is>
      </c>
      <c r="B12" s="13" t="inlineStr">
        <is>
          <t>Start Date</t>
        </is>
      </c>
      <c r="C12" s="13" t="inlineStr">
        <is>
          <t>End Date</t>
        </is>
      </c>
      <c r="D12" s="12" t="inlineStr">
        <is>
          <t>Days</t>
        </is>
      </c>
      <c r="E12" s="12" t="inlineStr">
        <is>
          <t>Rate %/yr</t>
        </is>
      </c>
      <c r="F12" s="14" t="inlineStr">
        <is>
          <t>Interest</t>
        </is>
      </c>
      <c r="G12" s="14" t="inlineStr">
        <is>
          <t>Installment</t>
        </is>
      </c>
      <c r="H12" s="14" t="inlineStr">
        <is>
          <t>Principal</t>
        </is>
      </c>
      <c r="I12" s="14" t="inlineStr">
        <is>
          <t>Balance</t>
        </is>
      </c>
      <c r="J12" s="14" t="inlineStr">
        <is>
          <t>Cashflow</t>
        </is>
      </c>
      <c r="L12" s="3" t="inlineStr">
        <is>
          <t>IRR / Year — Nominal (×12)</t>
        </is>
      </c>
      <c r="M12" s="15">
        <f>M10*12</f>
        <v/>
      </c>
    </row>
    <row r="13">
      <c r="A13" s="16" t="n">
        <v>0</v>
      </c>
      <c r="B13" s="17">
        <f>$M$5</f>
        <v/>
      </c>
      <c r="C13" s="18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20">
        <f>$M$2</f>
        <v/>
      </c>
      <c r="J13" s="20">
        <f>-$M$2</f>
        <v/>
      </c>
      <c r="L13" s="3" t="inlineStr">
        <is>
          <t>อัตราสัญญา ÷ 12 (เทียบ)</t>
        </is>
      </c>
      <c r="M13" s="15">
        <f>M3/100/12</f>
        <v/>
      </c>
    </row>
    <row r="14">
      <c r="A14" s="16" t="n">
        <v>1</v>
      </c>
      <c r="B14" s="17">
        <f>IF(A14&gt;$M$4,"",EDATE($M$5,A14-1))</f>
        <v/>
      </c>
      <c r="C14" s="17">
        <f>IF(A14&gt;$M$4,"",EDATE($M$5,A14))</f>
        <v/>
      </c>
      <c r="D14" s="16">
        <f>IF(A14&gt;$M$4,"",C14-B14)</f>
        <v/>
      </c>
      <c r="E14" s="21">
        <f>IF(A14&gt;$M$4,"",$M$3)</f>
        <v/>
      </c>
      <c r="F14" s="20">
        <f>IF(A14&gt;$M$4,0,ROUND(I13*$M$3/100*D14/365,2))</f>
        <v/>
      </c>
      <c r="G14" s="20">
        <f>IF(A14&gt;$M$4,0,IF(A14=$M$4,I13+F14,$M$7))</f>
        <v/>
      </c>
      <c r="H14" s="20">
        <f>IF(A14&gt;$M$4,0,G14-F14)</f>
        <v/>
      </c>
      <c r="I14" s="20">
        <f>IF(A14&gt;$M$4,0,MAX(0,I13-H14))</f>
        <v/>
      </c>
      <c r="J14" s="20">
        <f>IF(A14&gt;$M$4,0,G14)</f>
        <v/>
      </c>
      <c r="L14" s="3" t="inlineStr">
        <is>
          <t>อัตราสัญญา/ปี (Effective contract)</t>
        </is>
      </c>
      <c r="M14" s="15">
        <f>M3/100</f>
        <v/>
      </c>
    </row>
    <row r="15">
      <c r="A15" s="16" t="n">
        <v>2</v>
      </c>
      <c r="B15" s="17">
        <f>IF(A15&gt;$M$4,"",EDATE($M$5,A15-1))</f>
        <v/>
      </c>
      <c r="C15" s="17">
        <f>IF(A15&gt;$M$4,"",EDATE($M$5,A15))</f>
        <v/>
      </c>
      <c r="D15" s="16">
        <f>IF(A15&gt;$M$4,"",C15-B15)</f>
        <v/>
      </c>
      <c r="E15" s="21">
        <f>IF(A15&gt;$M$4,"",$M$3)</f>
        <v/>
      </c>
      <c r="F15" s="20">
        <f>IF(A15&gt;$M$4,0,ROUND(I14*$M$3/100*D15/365,2))</f>
        <v/>
      </c>
      <c r="G15" s="20">
        <f>IF(A15&gt;$M$4,0,IF(A15=$M$4,I14+F15,$M$7))</f>
        <v/>
      </c>
      <c r="H15" s="20">
        <f>IF(A15&gt;$M$4,0,G15-F15)</f>
        <v/>
      </c>
      <c r="I15" s="20">
        <f>IF(A15&gt;$M$4,0,MAX(0,I14-H15))</f>
        <v/>
      </c>
      <c r="J15" s="20">
        <f>IF(A15&gt;$M$4,0,G15)</f>
        <v/>
      </c>
    </row>
    <row r="16">
      <c r="A16" s="16" t="n">
        <v>3</v>
      </c>
      <c r="B16" s="17">
        <f>IF(A16&gt;$M$4,"",EDATE($M$5,A16-1))</f>
        <v/>
      </c>
      <c r="C16" s="17">
        <f>IF(A16&gt;$M$4,"",EDATE($M$5,A16))</f>
        <v/>
      </c>
      <c r="D16" s="16">
        <f>IF(A16&gt;$M$4,"",C16-B16)</f>
        <v/>
      </c>
      <c r="E16" s="21">
        <f>IF(A16&gt;$M$4,"",$M$3)</f>
        <v/>
      </c>
      <c r="F16" s="20">
        <f>IF(A16&gt;$M$4,0,ROUND(I15*$M$3/100*D16/365,2))</f>
        <v/>
      </c>
      <c r="G16" s="20">
        <f>IF(A16&gt;$M$4,0,IF(A16=$M$4,I15+F16,$M$7))</f>
        <v/>
      </c>
      <c r="H16" s="20">
        <f>IF(A16&gt;$M$4,0,G16-F16)</f>
        <v/>
      </c>
      <c r="I16" s="20">
        <f>IF(A16&gt;$M$4,0,MAX(0,I15-H16))</f>
        <v/>
      </c>
      <c r="J16" s="20">
        <f>IF(A16&gt;$M$4,0,G16)</f>
        <v/>
      </c>
    </row>
    <row r="17">
      <c r="A17" s="16" t="n">
        <v>4</v>
      </c>
      <c r="B17" s="17">
        <f>IF(A17&gt;$M$4,"",EDATE($M$5,A17-1))</f>
        <v/>
      </c>
      <c r="C17" s="17">
        <f>IF(A17&gt;$M$4,"",EDATE($M$5,A17))</f>
        <v/>
      </c>
      <c r="D17" s="16">
        <f>IF(A17&gt;$M$4,"",C17-B17)</f>
        <v/>
      </c>
      <c r="E17" s="21">
        <f>IF(A17&gt;$M$4,"",$M$3)</f>
        <v/>
      </c>
      <c r="F17" s="20">
        <f>IF(A17&gt;$M$4,0,ROUND(I16*$M$3/100*D17/365,2))</f>
        <v/>
      </c>
      <c r="G17" s="20">
        <f>IF(A17&gt;$M$4,0,IF(A17=$M$4,I16+F17,$M$7))</f>
        <v/>
      </c>
      <c r="H17" s="20">
        <f>IF(A17&gt;$M$4,0,G17-F17)</f>
        <v/>
      </c>
      <c r="I17" s="20">
        <f>IF(A17&gt;$M$4,0,MAX(0,I16-H17))</f>
        <v/>
      </c>
      <c r="J17" s="20">
        <f>IF(A17&gt;$M$4,0,G17)</f>
        <v/>
      </c>
    </row>
    <row r="18">
      <c r="A18" s="16" t="n">
        <v>5</v>
      </c>
      <c r="B18" s="17">
        <f>IF(A18&gt;$M$4,"",EDATE($M$5,A18-1))</f>
        <v/>
      </c>
      <c r="C18" s="17">
        <f>IF(A18&gt;$M$4,"",EDATE($M$5,A18))</f>
        <v/>
      </c>
      <c r="D18" s="16">
        <f>IF(A18&gt;$M$4,"",C18-B18)</f>
        <v/>
      </c>
      <c r="E18" s="21">
        <f>IF(A18&gt;$M$4,"",$M$3)</f>
        <v/>
      </c>
      <c r="F18" s="20">
        <f>IF(A18&gt;$M$4,0,ROUND(I17*$M$3/100*D18/365,2))</f>
        <v/>
      </c>
      <c r="G18" s="20">
        <f>IF(A18&gt;$M$4,0,IF(A18=$M$4,I17+F18,$M$7))</f>
        <v/>
      </c>
      <c r="H18" s="20">
        <f>IF(A18&gt;$M$4,0,G18-F18)</f>
        <v/>
      </c>
      <c r="I18" s="20">
        <f>IF(A18&gt;$M$4,0,MAX(0,I17-H18))</f>
        <v/>
      </c>
      <c r="J18" s="20">
        <f>IF(A18&gt;$M$4,0,G18)</f>
        <v/>
      </c>
    </row>
    <row r="19">
      <c r="A19" s="16" t="n">
        <v>6</v>
      </c>
      <c r="B19" s="17">
        <f>IF(A19&gt;$M$4,"",EDATE($M$5,A19-1))</f>
        <v/>
      </c>
      <c r="C19" s="17">
        <f>IF(A19&gt;$M$4,"",EDATE($M$5,A19))</f>
        <v/>
      </c>
      <c r="D19" s="16">
        <f>IF(A19&gt;$M$4,"",C19-B19)</f>
        <v/>
      </c>
      <c r="E19" s="21">
        <f>IF(A19&gt;$M$4,"",$M$3)</f>
        <v/>
      </c>
      <c r="F19" s="20">
        <f>IF(A19&gt;$M$4,0,ROUND(I18*$M$3/100*D19/365,2))</f>
        <v/>
      </c>
      <c r="G19" s="20">
        <f>IF(A19&gt;$M$4,0,IF(A19=$M$4,I18+F19,$M$7))</f>
        <v/>
      </c>
      <c r="H19" s="20">
        <f>IF(A19&gt;$M$4,0,G19-F19)</f>
        <v/>
      </c>
      <c r="I19" s="20">
        <f>IF(A19&gt;$M$4,0,MAX(0,I18-H19))</f>
        <v/>
      </c>
      <c r="J19" s="20">
        <f>IF(A19&gt;$M$4,0,G19)</f>
        <v/>
      </c>
    </row>
    <row r="20">
      <c r="A20" s="16" t="n">
        <v>7</v>
      </c>
      <c r="B20" s="17">
        <f>IF(A20&gt;$M$4,"",EDATE($M$5,A20-1))</f>
        <v/>
      </c>
      <c r="C20" s="17">
        <f>IF(A20&gt;$M$4,"",EDATE($M$5,A20))</f>
        <v/>
      </c>
      <c r="D20" s="16">
        <f>IF(A20&gt;$M$4,"",C20-B20)</f>
        <v/>
      </c>
      <c r="E20" s="21">
        <f>IF(A20&gt;$M$4,"",$M$3)</f>
        <v/>
      </c>
      <c r="F20" s="20">
        <f>IF(A20&gt;$M$4,0,ROUND(I19*$M$3/100*D20/365,2))</f>
        <v/>
      </c>
      <c r="G20" s="20">
        <f>IF(A20&gt;$M$4,0,IF(A20=$M$4,I19+F20,$M$7))</f>
        <v/>
      </c>
      <c r="H20" s="20">
        <f>IF(A20&gt;$M$4,0,G20-F20)</f>
        <v/>
      </c>
      <c r="I20" s="20">
        <f>IF(A20&gt;$M$4,0,MAX(0,I19-H20))</f>
        <v/>
      </c>
      <c r="J20" s="20">
        <f>IF(A20&gt;$M$4,0,G20)</f>
        <v/>
      </c>
    </row>
    <row r="21">
      <c r="A21" s="16" t="n">
        <v>8</v>
      </c>
      <c r="B21" s="17">
        <f>IF(A21&gt;$M$4,"",EDATE($M$5,A21-1))</f>
        <v/>
      </c>
      <c r="C21" s="17">
        <f>IF(A21&gt;$M$4,"",EDATE($M$5,A21))</f>
        <v/>
      </c>
      <c r="D21" s="16">
        <f>IF(A21&gt;$M$4,"",C21-B21)</f>
        <v/>
      </c>
      <c r="E21" s="21">
        <f>IF(A21&gt;$M$4,"",$M$3)</f>
        <v/>
      </c>
      <c r="F21" s="20">
        <f>IF(A21&gt;$M$4,0,ROUND(I20*$M$3/100*D21/365,2))</f>
        <v/>
      </c>
      <c r="G21" s="20">
        <f>IF(A21&gt;$M$4,0,IF(A21=$M$4,I20+F21,$M$7))</f>
        <v/>
      </c>
      <c r="H21" s="20">
        <f>IF(A21&gt;$M$4,0,G21-F21)</f>
        <v/>
      </c>
      <c r="I21" s="20">
        <f>IF(A21&gt;$M$4,0,MAX(0,I20-H21))</f>
        <v/>
      </c>
      <c r="J21" s="20">
        <f>IF(A21&gt;$M$4,0,G21)</f>
        <v/>
      </c>
    </row>
    <row r="22">
      <c r="A22" s="16" t="n">
        <v>9</v>
      </c>
      <c r="B22" s="17">
        <f>IF(A22&gt;$M$4,"",EDATE($M$5,A22-1))</f>
        <v/>
      </c>
      <c r="C22" s="17">
        <f>IF(A22&gt;$M$4,"",EDATE($M$5,A22))</f>
        <v/>
      </c>
      <c r="D22" s="16">
        <f>IF(A22&gt;$M$4,"",C22-B22)</f>
        <v/>
      </c>
      <c r="E22" s="21">
        <f>IF(A22&gt;$M$4,"",$M$3)</f>
        <v/>
      </c>
      <c r="F22" s="20">
        <f>IF(A22&gt;$M$4,0,ROUND(I21*$M$3/100*D22/365,2))</f>
        <v/>
      </c>
      <c r="G22" s="20">
        <f>IF(A22&gt;$M$4,0,IF(A22=$M$4,I21+F22,$M$7))</f>
        <v/>
      </c>
      <c r="H22" s="20">
        <f>IF(A22&gt;$M$4,0,G22-F22)</f>
        <v/>
      </c>
      <c r="I22" s="20">
        <f>IF(A22&gt;$M$4,0,MAX(0,I21-H22))</f>
        <v/>
      </c>
      <c r="J22" s="20">
        <f>IF(A22&gt;$M$4,0,G22)</f>
        <v/>
      </c>
    </row>
    <row r="23">
      <c r="A23" s="16" t="n">
        <v>10</v>
      </c>
      <c r="B23" s="17">
        <f>IF(A23&gt;$M$4,"",EDATE($M$5,A23-1))</f>
        <v/>
      </c>
      <c r="C23" s="17">
        <f>IF(A23&gt;$M$4,"",EDATE($M$5,A23))</f>
        <v/>
      </c>
      <c r="D23" s="16">
        <f>IF(A23&gt;$M$4,"",C23-B23)</f>
        <v/>
      </c>
      <c r="E23" s="21">
        <f>IF(A23&gt;$M$4,"",$M$3)</f>
        <v/>
      </c>
      <c r="F23" s="20">
        <f>IF(A23&gt;$M$4,0,ROUND(I22*$M$3/100*D23/365,2))</f>
        <v/>
      </c>
      <c r="G23" s="20">
        <f>IF(A23&gt;$M$4,0,IF(A23=$M$4,I22+F23,$M$7))</f>
        <v/>
      </c>
      <c r="H23" s="20">
        <f>IF(A23&gt;$M$4,0,G23-F23)</f>
        <v/>
      </c>
      <c r="I23" s="20">
        <f>IF(A23&gt;$M$4,0,MAX(0,I22-H23))</f>
        <v/>
      </c>
      <c r="J23" s="20">
        <f>IF(A23&gt;$M$4,0,G23)</f>
        <v/>
      </c>
    </row>
    <row r="24">
      <c r="A24" s="16" t="n">
        <v>11</v>
      </c>
      <c r="B24" s="17">
        <f>IF(A24&gt;$M$4,"",EDATE($M$5,A24-1))</f>
        <v/>
      </c>
      <c r="C24" s="17">
        <f>IF(A24&gt;$M$4,"",EDATE($M$5,A24))</f>
        <v/>
      </c>
      <c r="D24" s="16">
        <f>IF(A24&gt;$M$4,"",C24-B24)</f>
        <v/>
      </c>
      <c r="E24" s="21">
        <f>IF(A24&gt;$M$4,"",$M$3)</f>
        <v/>
      </c>
      <c r="F24" s="20">
        <f>IF(A24&gt;$M$4,0,ROUND(I23*$M$3/100*D24/365,2))</f>
        <v/>
      </c>
      <c r="G24" s="20">
        <f>IF(A24&gt;$M$4,0,IF(A24=$M$4,I23+F24,$M$7))</f>
        <v/>
      </c>
      <c r="H24" s="20">
        <f>IF(A24&gt;$M$4,0,G24-F24)</f>
        <v/>
      </c>
      <c r="I24" s="20">
        <f>IF(A24&gt;$M$4,0,MAX(0,I23-H24))</f>
        <v/>
      </c>
      <c r="J24" s="20">
        <f>IF(A24&gt;$M$4,0,G24)</f>
        <v/>
      </c>
    </row>
    <row r="25">
      <c r="A25" s="16" t="n">
        <v>12</v>
      </c>
      <c r="B25" s="17">
        <f>IF(A25&gt;$M$4,"",EDATE($M$5,A25-1))</f>
        <v/>
      </c>
      <c r="C25" s="17">
        <f>IF(A25&gt;$M$4,"",EDATE($M$5,A25))</f>
        <v/>
      </c>
      <c r="D25" s="16">
        <f>IF(A25&gt;$M$4,"",C25-B25)</f>
        <v/>
      </c>
      <c r="E25" s="21">
        <f>IF(A25&gt;$M$4,"",$M$3)</f>
        <v/>
      </c>
      <c r="F25" s="20">
        <f>IF(A25&gt;$M$4,0,ROUND(I24*$M$3/100*D25/365,2))</f>
        <v/>
      </c>
      <c r="G25" s="20">
        <f>IF(A25&gt;$M$4,0,IF(A25=$M$4,I24+F25,$M$7))</f>
        <v/>
      </c>
      <c r="H25" s="20">
        <f>IF(A25&gt;$M$4,0,G25-F25)</f>
        <v/>
      </c>
      <c r="I25" s="20">
        <f>IF(A25&gt;$M$4,0,MAX(0,I24-H25))</f>
        <v/>
      </c>
      <c r="J25" s="20">
        <f>IF(A25&gt;$M$4,0,G25)</f>
        <v/>
      </c>
    </row>
    <row r="26">
      <c r="A26" s="16" t="n">
        <v>13</v>
      </c>
      <c r="B26" s="17">
        <f>IF(A26&gt;$M$4,"",EDATE($M$5,A26-1))</f>
        <v/>
      </c>
      <c r="C26" s="17">
        <f>IF(A26&gt;$M$4,"",EDATE($M$5,A26))</f>
        <v/>
      </c>
      <c r="D26" s="16">
        <f>IF(A26&gt;$M$4,"",C26-B26)</f>
        <v/>
      </c>
      <c r="E26" s="21">
        <f>IF(A26&gt;$M$4,"",$M$3)</f>
        <v/>
      </c>
      <c r="F26" s="20">
        <f>IF(A26&gt;$M$4,0,ROUND(I25*$M$3/100*D26/365,2))</f>
        <v/>
      </c>
      <c r="G26" s="20">
        <f>IF(A26&gt;$M$4,0,IF(A26=$M$4,I25+F26,$M$7))</f>
        <v/>
      </c>
      <c r="H26" s="20">
        <f>IF(A26&gt;$M$4,0,G26-F26)</f>
        <v/>
      </c>
      <c r="I26" s="20">
        <f>IF(A26&gt;$M$4,0,MAX(0,I25-H26))</f>
        <v/>
      </c>
      <c r="J26" s="20">
        <f>IF(A26&gt;$M$4,0,G26)</f>
        <v/>
      </c>
    </row>
    <row r="27">
      <c r="A27" s="16" t="n">
        <v>14</v>
      </c>
      <c r="B27" s="17">
        <f>IF(A27&gt;$M$4,"",EDATE($M$5,A27-1))</f>
        <v/>
      </c>
      <c r="C27" s="17">
        <f>IF(A27&gt;$M$4,"",EDATE($M$5,A27))</f>
        <v/>
      </c>
      <c r="D27" s="16">
        <f>IF(A27&gt;$M$4,"",C27-B27)</f>
        <v/>
      </c>
      <c r="E27" s="21">
        <f>IF(A27&gt;$M$4,"",$M$3)</f>
        <v/>
      </c>
      <c r="F27" s="20">
        <f>IF(A27&gt;$M$4,0,ROUND(I26*$M$3/100*D27/365,2))</f>
        <v/>
      </c>
      <c r="G27" s="20">
        <f>IF(A27&gt;$M$4,0,IF(A27=$M$4,I26+F27,$M$7))</f>
        <v/>
      </c>
      <c r="H27" s="20">
        <f>IF(A27&gt;$M$4,0,G27-F27)</f>
        <v/>
      </c>
      <c r="I27" s="20">
        <f>IF(A27&gt;$M$4,0,MAX(0,I26-H27))</f>
        <v/>
      </c>
      <c r="J27" s="20">
        <f>IF(A27&gt;$M$4,0,G27)</f>
        <v/>
      </c>
    </row>
    <row r="28">
      <c r="A28" s="16" t="n">
        <v>15</v>
      </c>
      <c r="B28" s="17">
        <f>IF(A28&gt;$M$4,"",EDATE($M$5,A28-1))</f>
        <v/>
      </c>
      <c r="C28" s="17">
        <f>IF(A28&gt;$M$4,"",EDATE($M$5,A28))</f>
        <v/>
      </c>
      <c r="D28" s="16">
        <f>IF(A28&gt;$M$4,"",C28-B28)</f>
        <v/>
      </c>
      <c r="E28" s="21">
        <f>IF(A28&gt;$M$4,"",$M$3)</f>
        <v/>
      </c>
      <c r="F28" s="20">
        <f>IF(A28&gt;$M$4,0,ROUND(I27*$M$3/100*D28/365,2))</f>
        <v/>
      </c>
      <c r="G28" s="20">
        <f>IF(A28&gt;$M$4,0,IF(A28=$M$4,I27+F28,$M$7))</f>
        <v/>
      </c>
      <c r="H28" s="20">
        <f>IF(A28&gt;$M$4,0,G28-F28)</f>
        <v/>
      </c>
      <c r="I28" s="20">
        <f>IF(A28&gt;$M$4,0,MAX(0,I27-H28))</f>
        <v/>
      </c>
      <c r="J28" s="20">
        <f>IF(A28&gt;$M$4,0,G28)</f>
        <v/>
      </c>
    </row>
    <row r="29">
      <c r="A29" s="16" t="n">
        <v>16</v>
      </c>
      <c r="B29" s="17">
        <f>IF(A29&gt;$M$4,"",EDATE($M$5,A29-1))</f>
        <v/>
      </c>
      <c r="C29" s="17">
        <f>IF(A29&gt;$M$4,"",EDATE($M$5,A29))</f>
        <v/>
      </c>
      <c r="D29" s="16">
        <f>IF(A29&gt;$M$4,"",C29-B29)</f>
        <v/>
      </c>
      <c r="E29" s="21">
        <f>IF(A29&gt;$M$4,"",$M$3)</f>
        <v/>
      </c>
      <c r="F29" s="20">
        <f>IF(A29&gt;$M$4,0,ROUND(I28*$M$3/100*D29/365,2))</f>
        <v/>
      </c>
      <c r="G29" s="20">
        <f>IF(A29&gt;$M$4,0,IF(A29=$M$4,I28+F29,$M$7))</f>
        <v/>
      </c>
      <c r="H29" s="20">
        <f>IF(A29&gt;$M$4,0,G29-F29)</f>
        <v/>
      </c>
      <c r="I29" s="20">
        <f>IF(A29&gt;$M$4,0,MAX(0,I28-H29))</f>
        <v/>
      </c>
      <c r="J29" s="20">
        <f>IF(A29&gt;$M$4,0,G29)</f>
        <v/>
      </c>
    </row>
    <row r="30">
      <c r="A30" s="16" t="n">
        <v>17</v>
      </c>
      <c r="B30" s="17">
        <f>IF(A30&gt;$M$4,"",EDATE($M$5,A30-1))</f>
        <v/>
      </c>
      <c r="C30" s="17">
        <f>IF(A30&gt;$M$4,"",EDATE($M$5,A30))</f>
        <v/>
      </c>
      <c r="D30" s="16">
        <f>IF(A30&gt;$M$4,"",C30-B30)</f>
        <v/>
      </c>
      <c r="E30" s="21">
        <f>IF(A30&gt;$M$4,"",$M$3)</f>
        <v/>
      </c>
      <c r="F30" s="20">
        <f>IF(A30&gt;$M$4,0,ROUND(I29*$M$3/100*D30/365,2))</f>
        <v/>
      </c>
      <c r="G30" s="20">
        <f>IF(A30&gt;$M$4,0,IF(A30=$M$4,I29+F30,$M$7))</f>
        <v/>
      </c>
      <c r="H30" s="20">
        <f>IF(A30&gt;$M$4,0,G30-F30)</f>
        <v/>
      </c>
      <c r="I30" s="20">
        <f>IF(A30&gt;$M$4,0,MAX(0,I29-H30))</f>
        <v/>
      </c>
      <c r="J30" s="20">
        <f>IF(A30&gt;$M$4,0,G30)</f>
        <v/>
      </c>
    </row>
    <row r="31">
      <c r="A31" s="16" t="n">
        <v>18</v>
      </c>
      <c r="B31" s="17">
        <f>IF(A31&gt;$M$4,"",EDATE($M$5,A31-1))</f>
        <v/>
      </c>
      <c r="C31" s="17">
        <f>IF(A31&gt;$M$4,"",EDATE($M$5,A31))</f>
        <v/>
      </c>
      <c r="D31" s="16">
        <f>IF(A31&gt;$M$4,"",C31-B31)</f>
        <v/>
      </c>
      <c r="E31" s="21">
        <f>IF(A31&gt;$M$4,"",$M$3)</f>
        <v/>
      </c>
      <c r="F31" s="20">
        <f>IF(A31&gt;$M$4,0,ROUND(I30*$M$3/100*D31/365,2))</f>
        <v/>
      </c>
      <c r="G31" s="20">
        <f>IF(A31&gt;$M$4,0,IF(A31=$M$4,I30+F31,$M$7))</f>
        <v/>
      </c>
      <c r="H31" s="20">
        <f>IF(A31&gt;$M$4,0,G31-F31)</f>
        <v/>
      </c>
      <c r="I31" s="20">
        <f>IF(A31&gt;$M$4,0,MAX(0,I30-H31))</f>
        <v/>
      </c>
      <c r="J31" s="20">
        <f>IF(A31&gt;$M$4,0,G31)</f>
        <v/>
      </c>
    </row>
    <row r="32">
      <c r="A32" s="16" t="n">
        <v>19</v>
      </c>
      <c r="B32" s="17">
        <f>IF(A32&gt;$M$4,"",EDATE($M$5,A32-1))</f>
        <v/>
      </c>
      <c r="C32" s="17">
        <f>IF(A32&gt;$M$4,"",EDATE($M$5,A32))</f>
        <v/>
      </c>
      <c r="D32" s="16">
        <f>IF(A32&gt;$M$4,"",C32-B32)</f>
        <v/>
      </c>
      <c r="E32" s="21">
        <f>IF(A32&gt;$M$4,"",$M$3)</f>
        <v/>
      </c>
      <c r="F32" s="20">
        <f>IF(A32&gt;$M$4,0,ROUND(I31*$M$3/100*D32/365,2))</f>
        <v/>
      </c>
      <c r="G32" s="20">
        <f>IF(A32&gt;$M$4,0,IF(A32=$M$4,I31+F32,$M$7))</f>
        <v/>
      </c>
      <c r="H32" s="20">
        <f>IF(A32&gt;$M$4,0,G32-F32)</f>
        <v/>
      </c>
      <c r="I32" s="20">
        <f>IF(A32&gt;$M$4,0,MAX(0,I31-H32))</f>
        <v/>
      </c>
      <c r="J32" s="20">
        <f>IF(A32&gt;$M$4,0,G32)</f>
        <v/>
      </c>
    </row>
    <row r="33">
      <c r="A33" s="16" t="n">
        <v>20</v>
      </c>
      <c r="B33" s="17">
        <f>IF(A33&gt;$M$4,"",EDATE($M$5,A33-1))</f>
        <v/>
      </c>
      <c r="C33" s="17">
        <f>IF(A33&gt;$M$4,"",EDATE($M$5,A33))</f>
        <v/>
      </c>
      <c r="D33" s="16">
        <f>IF(A33&gt;$M$4,"",C33-B33)</f>
        <v/>
      </c>
      <c r="E33" s="21">
        <f>IF(A33&gt;$M$4,"",$M$3)</f>
        <v/>
      </c>
      <c r="F33" s="20">
        <f>IF(A33&gt;$M$4,0,ROUND(I32*$M$3/100*D33/365,2))</f>
        <v/>
      </c>
      <c r="G33" s="20">
        <f>IF(A33&gt;$M$4,0,IF(A33=$M$4,I32+F33,$M$7))</f>
        <v/>
      </c>
      <c r="H33" s="20">
        <f>IF(A33&gt;$M$4,0,G33-F33)</f>
        <v/>
      </c>
      <c r="I33" s="20">
        <f>IF(A33&gt;$M$4,0,MAX(0,I32-H33))</f>
        <v/>
      </c>
      <c r="J33" s="20">
        <f>IF(A33&gt;$M$4,0,G33)</f>
        <v/>
      </c>
    </row>
    <row r="34">
      <c r="A34" s="16" t="n">
        <v>21</v>
      </c>
      <c r="B34" s="17">
        <f>IF(A34&gt;$M$4,"",EDATE($M$5,A34-1))</f>
        <v/>
      </c>
      <c r="C34" s="17">
        <f>IF(A34&gt;$M$4,"",EDATE($M$5,A34))</f>
        <v/>
      </c>
      <c r="D34" s="16">
        <f>IF(A34&gt;$M$4,"",C34-B34)</f>
        <v/>
      </c>
      <c r="E34" s="21">
        <f>IF(A34&gt;$M$4,"",$M$3)</f>
        <v/>
      </c>
      <c r="F34" s="20">
        <f>IF(A34&gt;$M$4,0,ROUND(I33*$M$3/100*D34/365,2))</f>
        <v/>
      </c>
      <c r="G34" s="20">
        <f>IF(A34&gt;$M$4,0,IF(A34=$M$4,I33+F34,$M$7))</f>
        <v/>
      </c>
      <c r="H34" s="20">
        <f>IF(A34&gt;$M$4,0,G34-F34)</f>
        <v/>
      </c>
      <c r="I34" s="20">
        <f>IF(A34&gt;$M$4,0,MAX(0,I33-H34))</f>
        <v/>
      </c>
      <c r="J34" s="20">
        <f>IF(A34&gt;$M$4,0,G34)</f>
        <v/>
      </c>
    </row>
    <row r="35">
      <c r="A35" s="16" t="n">
        <v>22</v>
      </c>
      <c r="B35" s="17">
        <f>IF(A35&gt;$M$4,"",EDATE($M$5,A35-1))</f>
        <v/>
      </c>
      <c r="C35" s="17">
        <f>IF(A35&gt;$M$4,"",EDATE($M$5,A35))</f>
        <v/>
      </c>
      <c r="D35" s="16">
        <f>IF(A35&gt;$M$4,"",C35-B35)</f>
        <v/>
      </c>
      <c r="E35" s="21">
        <f>IF(A35&gt;$M$4,"",$M$3)</f>
        <v/>
      </c>
      <c r="F35" s="20">
        <f>IF(A35&gt;$M$4,0,ROUND(I34*$M$3/100*D35/365,2))</f>
        <v/>
      </c>
      <c r="G35" s="20">
        <f>IF(A35&gt;$M$4,0,IF(A35=$M$4,I34+F35,$M$7))</f>
        <v/>
      </c>
      <c r="H35" s="20">
        <f>IF(A35&gt;$M$4,0,G35-F35)</f>
        <v/>
      </c>
      <c r="I35" s="20">
        <f>IF(A35&gt;$M$4,0,MAX(0,I34-H35))</f>
        <v/>
      </c>
      <c r="J35" s="20">
        <f>IF(A35&gt;$M$4,0,G35)</f>
        <v/>
      </c>
    </row>
    <row r="36">
      <c r="A36" s="16" t="n">
        <v>23</v>
      </c>
      <c r="B36" s="17">
        <f>IF(A36&gt;$M$4,"",EDATE($M$5,A36-1))</f>
        <v/>
      </c>
      <c r="C36" s="17">
        <f>IF(A36&gt;$M$4,"",EDATE($M$5,A36))</f>
        <v/>
      </c>
      <c r="D36" s="16">
        <f>IF(A36&gt;$M$4,"",C36-B36)</f>
        <v/>
      </c>
      <c r="E36" s="21">
        <f>IF(A36&gt;$M$4,"",$M$3)</f>
        <v/>
      </c>
      <c r="F36" s="20">
        <f>IF(A36&gt;$M$4,0,ROUND(I35*$M$3/100*D36/365,2))</f>
        <v/>
      </c>
      <c r="G36" s="20">
        <f>IF(A36&gt;$M$4,0,IF(A36=$M$4,I35+F36,$M$7))</f>
        <v/>
      </c>
      <c r="H36" s="20">
        <f>IF(A36&gt;$M$4,0,G36-F36)</f>
        <v/>
      </c>
      <c r="I36" s="20">
        <f>IF(A36&gt;$M$4,0,MAX(0,I35-H36))</f>
        <v/>
      </c>
      <c r="J36" s="20">
        <f>IF(A36&gt;$M$4,0,G36)</f>
        <v/>
      </c>
    </row>
    <row r="37">
      <c r="A37" s="16" t="n">
        <v>24</v>
      </c>
      <c r="B37" s="17">
        <f>IF(A37&gt;$M$4,"",EDATE($M$5,A37-1))</f>
        <v/>
      </c>
      <c r="C37" s="17">
        <f>IF(A37&gt;$M$4,"",EDATE($M$5,A37))</f>
        <v/>
      </c>
      <c r="D37" s="16">
        <f>IF(A37&gt;$M$4,"",C37-B37)</f>
        <v/>
      </c>
      <c r="E37" s="21">
        <f>IF(A37&gt;$M$4,"",$M$3)</f>
        <v/>
      </c>
      <c r="F37" s="20">
        <f>IF(A37&gt;$M$4,0,ROUND(I36*$M$3/100*D37/365,2))</f>
        <v/>
      </c>
      <c r="G37" s="20">
        <f>IF(A37&gt;$M$4,0,IF(A37=$M$4,I36+F37,$M$7))</f>
        <v/>
      </c>
      <c r="H37" s="20">
        <f>IF(A37&gt;$M$4,0,G37-F37)</f>
        <v/>
      </c>
      <c r="I37" s="20">
        <f>IF(A37&gt;$M$4,0,MAX(0,I36-H37))</f>
        <v/>
      </c>
      <c r="J37" s="20">
        <f>IF(A37&gt;$M$4,0,G37)</f>
        <v/>
      </c>
    </row>
    <row r="38">
      <c r="A38" s="16" t="n">
        <v>25</v>
      </c>
      <c r="B38" s="17">
        <f>IF(A38&gt;$M$4,"",EDATE($M$5,A38-1))</f>
        <v/>
      </c>
      <c r="C38" s="17">
        <f>IF(A38&gt;$M$4,"",EDATE($M$5,A38))</f>
        <v/>
      </c>
      <c r="D38" s="16">
        <f>IF(A38&gt;$M$4,"",C38-B38)</f>
        <v/>
      </c>
      <c r="E38" s="21">
        <f>IF(A38&gt;$M$4,"",$M$3)</f>
        <v/>
      </c>
      <c r="F38" s="20">
        <f>IF(A38&gt;$M$4,0,ROUND(I37*$M$3/100*D38/365,2))</f>
        <v/>
      </c>
      <c r="G38" s="20">
        <f>IF(A38&gt;$M$4,0,IF(A38=$M$4,I37+F38,$M$7))</f>
        <v/>
      </c>
      <c r="H38" s="20">
        <f>IF(A38&gt;$M$4,0,G38-F38)</f>
        <v/>
      </c>
      <c r="I38" s="20">
        <f>IF(A38&gt;$M$4,0,MAX(0,I37-H38))</f>
        <v/>
      </c>
      <c r="J38" s="20">
        <f>IF(A38&gt;$M$4,0,G38)</f>
        <v/>
      </c>
    </row>
    <row r="39">
      <c r="A39" s="16" t="n">
        <v>26</v>
      </c>
      <c r="B39" s="17">
        <f>IF(A39&gt;$M$4,"",EDATE($M$5,A39-1))</f>
        <v/>
      </c>
      <c r="C39" s="17">
        <f>IF(A39&gt;$M$4,"",EDATE($M$5,A39))</f>
        <v/>
      </c>
      <c r="D39" s="16">
        <f>IF(A39&gt;$M$4,"",C39-B39)</f>
        <v/>
      </c>
      <c r="E39" s="21">
        <f>IF(A39&gt;$M$4,"",$M$3)</f>
        <v/>
      </c>
      <c r="F39" s="20">
        <f>IF(A39&gt;$M$4,0,ROUND(I38*$M$3/100*D39/365,2))</f>
        <v/>
      </c>
      <c r="G39" s="20">
        <f>IF(A39&gt;$M$4,0,IF(A39=$M$4,I38+F39,$M$7))</f>
        <v/>
      </c>
      <c r="H39" s="20">
        <f>IF(A39&gt;$M$4,0,G39-F39)</f>
        <v/>
      </c>
      <c r="I39" s="20">
        <f>IF(A39&gt;$M$4,0,MAX(0,I38-H39))</f>
        <v/>
      </c>
      <c r="J39" s="20">
        <f>IF(A39&gt;$M$4,0,G39)</f>
        <v/>
      </c>
    </row>
    <row r="40">
      <c r="A40" s="16" t="n">
        <v>27</v>
      </c>
      <c r="B40" s="17">
        <f>IF(A40&gt;$M$4,"",EDATE($M$5,A40-1))</f>
        <v/>
      </c>
      <c r="C40" s="17">
        <f>IF(A40&gt;$M$4,"",EDATE($M$5,A40))</f>
        <v/>
      </c>
      <c r="D40" s="16">
        <f>IF(A40&gt;$M$4,"",C40-B40)</f>
        <v/>
      </c>
      <c r="E40" s="21">
        <f>IF(A40&gt;$M$4,"",$M$3)</f>
        <v/>
      </c>
      <c r="F40" s="20">
        <f>IF(A40&gt;$M$4,0,ROUND(I39*$M$3/100*D40/365,2))</f>
        <v/>
      </c>
      <c r="G40" s="20">
        <f>IF(A40&gt;$M$4,0,IF(A40=$M$4,I39+F40,$M$7))</f>
        <v/>
      </c>
      <c r="H40" s="20">
        <f>IF(A40&gt;$M$4,0,G40-F40)</f>
        <v/>
      </c>
      <c r="I40" s="20">
        <f>IF(A40&gt;$M$4,0,MAX(0,I39-H40))</f>
        <v/>
      </c>
      <c r="J40" s="20">
        <f>IF(A40&gt;$M$4,0,G40)</f>
        <v/>
      </c>
    </row>
    <row r="41">
      <c r="A41" s="16" t="n">
        <v>28</v>
      </c>
      <c r="B41" s="17">
        <f>IF(A41&gt;$M$4,"",EDATE($M$5,A41-1))</f>
        <v/>
      </c>
      <c r="C41" s="17">
        <f>IF(A41&gt;$M$4,"",EDATE($M$5,A41))</f>
        <v/>
      </c>
      <c r="D41" s="16">
        <f>IF(A41&gt;$M$4,"",C41-B41)</f>
        <v/>
      </c>
      <c r="E41" s="21">
        <f>IF(A41&gt;$M$4,"",$M$3)</f>
        <v/>
      </c>
      <c r="F41" s="20">
        <f>IF(A41&gt;$M$4,0,ROUND(I40*$M$3/100*D41/365,2))</f>
        <v/>
      </c>
      <c r="G41" s="20">
        <f>IF(A41&gt;$M$4,0,IF(A41=$M$4,I40+F41,$M$7))</f>
        <v/>
      </c>
      <c r="H41" s="20">
        <f>IF(A41&gt;$M$4,0,G41-F41)</f>
        <v/>
      </c>
      <c r="I41" s="20">
        <f>IF(A41&gt;$M$4,0,MAX(0,I40-H41))</f>
        <v/>
      </c>
      <c r="J41" s="20">
        <f>IF(A41&gt;$M$4,0,G41)</f>
        <v/>
      </c>
    </row>
    <row r="42">
      <c r="A42" s="16" t="n">
        <v>29</v>
      </c>
      <c r="B42" s="17">
        <f>IF(A42&gt;$M$4,"",EDATE($M$5,A42-1))</f>
        <v/>
      </c>
      <c r="C42" s="17">
        <f>IF(A42&gt;$M$4,"",EDATE($M$5,A42))</f>
        <v/>
      </c>
      <c r="D42" s="16">
        <f>IF(A42&gt;$M$4,"",C42-B42)</f>
        <v/>
      </c>
      <c r="E42" s="21">
        <f>IF(A42&gt;$M$4,"",$M$3)</f>
        <v/>
      </c>
      <c r="F42" s="20">
        <f>IF(A42&gt;$M$4,0,ROUND(I41*$M$3/100*D42/365,2))</f>
        <v/>
      </c>
      <c r="G42" s="20">
        <f>IF(A42&gt;$M$4,0,IF(A42=$M$4,I41+F42,$M$7))</f>
        <v/>
      </c>
      <c r="H42" s="20">
        <f>IF(A42&gt;$M$4,0,G42-F42)</f>
        <v/>
      </c>
      <c r="I42" s="20">
        <f>IF(A42&gt;$M$4,0,MAX(0,I41-H42))</f>
        <v/>
      </c>
      <c r="J42" s="20">
        <f>IF(A42&gt;$M$4,0,G42)</f>
        <v/>
      </c>
    </row>
    <row r="43">
      <c r="A43" s="16" t="n">
        <v>30</v>
      </c>
      <c r="B43" s="17">
        <f>IF(A43&gt;$M$4,"",EDATE($M$5,A43-1))</f>
        <v/>
      </c>
      <c r="C43" s="17">
        <f>IF(A43&gt;$M$4,"",EDATE($M$5,A43))</f>
        <v/>
      </c>
      <c r="D43" s="16">
        <f>IF(A43&gt;$M$4,"",C43-B43)</f>
        <v/>
      </c>
      <c r="E43" s="21">
        <f>IF(A43&gt;$M$4,"",$M$3)</f>
        <v/>
      </c>
      <c r="F43" s="20">
        <f>IF(A43&gt;$M$4,0,ROUND(I42*$M$3/100*D43/365,2))</f>
        <v/>
      </c>
      <c r="G43" s="20">
        <f>IF(A43&gt;$M$4,0,IF(A43=$M$4,I42+F43,$M$7))</f>
        <v/>
      </c>
      <c r="H43" s="20">
        <f>IF(A43&gt;$M$4,0,G43-F43)</f>
        <v/>
      </c>
      <c r="I43" s="20">
        <f>IF(A43&gt;$M$4,0,MAX(0,I42-H43))</f>
        <v/>
      </c>
      <c r="J43" s="20">
        <f>IF(A43&gt;$M$4,0,G43)</f>
        <v/>
      </c>
    </row>
    <row r="44">
      <c r="A44" s="16" t="n">
        <v>31</v>
      </c>
      <c r="B44" s="17">
        <f>IF(A44&gt;$M$4,"",EDATE($M$5,A44-1))</f>
        <v/>
      </c>
      <c r="C44" s="17">
        <f>IF(A44&gt;$M$4,"",EDATE($M$5,A44))</f>
        <v/>
      </c>
      <c r="D44" s="16">
        <f>IF(A44&gt;$M$4,"",C44-B44)</f>
        <v/>
      </c>
      <c r="E44" s="21">
        <f>IF(A44&gt;$M$4,"",$M$3)</f>
        <v/>
      </c>
      <c r="F44" s="20">
        <f>IF(A44&gt;$M$4,0,ROUND(I43*$M$3/100*D44/365,2))</f>
        <v/>
      </c>
      <c r="G44" s="20">
        <f>IF(A44&gt;$M$4,0,IF(A44=$M$4,I43+F44,$M$7))</f>
        <v/>
      </c>
      <c r="H44" s="20">
        <f>IF(A44&gt;$M$4,0,G44-F44)</f>
        <v/>
      </c>
      <c r="I44" s="20">
        <f>IF(A44&gt;$M$4,0,MAX(0,I43-H44))</f>
        <v/>
      </c>
      <c r="J44" s="20">
        <f>IF(A44&gt;$M$4,0,G44)</f>
        <v/>
      </c>
    </row>
    <row r="45">
      <c r="A45" s="16" t="n">
        <v>32</v>
      </c>
      <c r="B45" s="17">
        <f>IF(A45&gt;$M$4,"",EDATE($M$5,A45-1))</f>
        <v/>
      </c>
      <c r="C45" s="17">
        <f>IF(A45&gt;$M$4,"",EDATE($M$5,A45))</f>
        <v/>
      </c>
      <c r="D45" s="16">
        <f>IF(A45&gt;$M$4,"",C45-B45)</f>
        <v/>
      </c>
      <c r="E45" s="21">
        <f>IF(A45&gt;$M$4,"",$M$3)</f>
        <v/>
      </c>
      <c r="F45" s="20">
        <f>IF(A45&gt;$M$4,0,ROUND(I44*$M$3/100*D45/365,2))</f>
        <v/>
      </c>
      <c r="G45" s="20">
        <f>IF(A45&gt;$M$4,0,IF(A45=$M$4,I44+F45,$M$7))</f>
        <v/>
      </c>
      <c r="H45" s="20">
        <f>IF(A45&gt;$M$4,0,G45-F45)</f>
        <v/>
      </c>
      <c r="I45" s="20">
        <f>IF(A45&gt;$M$4,0,MAX(0,I44-H45))</f>
        <v/>
      </c>
      <c r="J45" s="20">
        <f>IF(A45&gt;$M$4,0,G45)</f>
        <v/>
      </c>
    </row>
    <row r="46">
      <c r="A46" s="16" t="n">
        <v>33</v>
      </c>
      <c r="B46" s="17">
        <f>IF(A46&gt;$M$4,"",EDATE($M$5,A46-1))</f>
        <v/>
      </c>
      <c r="C46" s="17">
        <f>IF(A46&gt;$M$4,"",EDATE($M$5,A46))</f>
        <v/>
      </c>
      <c r="D46" s="16">
        <f>IF(A46&gt;$M$4,"",C46-B46)</f>
        <v/>
      </c>
      <c r="E46" s="21">
        <f>IF(A46&gt;$M$4,"",$M$3)</f>
        <v/>
      </c>
      <c r="F46" s="20">
        <f>IF(A46&gt;$M$4,0,ROUND(I45*$M$3/100*D46/365,2))</f>
        <v/>
      </c>
      <c r="G46" s="20">
        <f>IF(A46&gt;$M$4,0,IF(A46=$M$4,I45+F46,$M$7))</f>
        <v/>
      </c>
      <c r="H46" s="20">
        <f>IF(A46&gt;$M$4,0,G46-F46)</f>
        <v/>
      </c>
      <c r="I46" s="20">
        <f>IF(A46&gt;$M$4,0,MAX(0,I45-H46))</f>
        <v/>
      </c>
      <c r="J46" s="20">
        <f>IF(A46&gt;$M$4,0,G46)</f>
        <v/>
      </c>
    </row>
    <row r="47">
      <c r="A47" s="16" t="n">
        <v>34</v>
      </c>
      <c r="B47" s="17">
        <f>IF(A47&gt;$M$4,"",EDATE($M$5,A47-1))</f>
        <v/>
      </c>
      <c r="C47" s="17">
        <f>IF(A47&gt;$M$4,"",EDATE($M$5,A47))</f>
        <v/>
      </c>
      <c r="D47" s="16">
        <f>IF(A47&gt;$M$4,"",C47-B47)</f>
        <v/>
      </c>
      <c r="E47" s="21">
        <f>IF(A47&gt;$M$4,"",$M$3)</f>
        <v/>
      </c>
      <c r="F47" s="20">
        <f>IF(A47&gt;$M$4,0,ROUND(I46*$M$3/100*D47/365,2))</f>
        <v/>
      </c>
      <c r="G47" s="20">
        <f>IF(A47&gt;$M$4,0,IF(A47=$M$4,I46+F47,$M$7))</f>
        <v/>
      </c>
      <c r="H47" s="20">
        <f>IF(A47&gt;$M$4,0,G47-F47)</f>
        <v/>
      </c>
      <c r="I47" s="20">
        <f>IF(A47&gt;$M$4,0,MAX(0,I46-H47))</f>
        <v/>
      </c>
      <c r="J47" s="20">
        <f>IF(A47&gt;$M$4,0,G47)</f>
        <v/>
      </c>
    </row>
    <row r="48">
      <c r="A48" s="16" t="n">
        <v>35</v>
      </c>
      <c r="B48" s="17">
        <f>IF(A48&gt;$M$4,"",EDATE($M$5,A48-1))</f>
        <v/>
      </c>
      <c r="C48" s="17">
        <f>IF(A48&gt;$M$4,"",EDATE($M$5,A48))</f>
        <v/>
      </c>
      <c r="D48" s="16">
        <f>IF(A48&gt;$M$4,"",C48-B48)</f>
        <v/>
      </c>
      <c r="E48" s="21">
        <f>IF(A48&gt;$M$4,"",$M$3)</f>
        <v/>
      </c>
      <c r="F48" s="20">
        <f>IF(A48&gt;$M$4,0,ROUND(I47*$M$3/100*D48/365,2))</f>
        <v/>
      </c>
      <c r="G48" s="20">
        <f>IF(A48&gt;$M$4,0,IF(A48=$M$4,I47+F48,$M$7))</f>
        <v/>
      </c>
      <c r="H48" s="20">
        <f>IF(A48&gt;$M$4,0,G48-F48)</f>
        <v/>
      </c>
      <c r="I48" s="20">
        <f>IF(A48&gt;$M$4,0,MAX(0,I47-H48))</f>
        <v/>
      </c>
      <c r="J48" s="20">
        <f>IF(A48&gt;$M$4,0,G48)</f>
        <v/>
      </c>
    </row>
    <row r="49">
      <c r="A49" s="16" t="n">
        <v>36</v>
      </c>
      <c r="B49" s="17">
        <f>IF(A49&gt;$M$4,"",EDATE($M$5,A49-1))</f>
        <v/>
      </c>
      <c r="C49" s="17">
        <f>IF(A49&gt;$M$4,"",EDATE($M$5,A49))</f>
        <v/>
      </c>
      <c r="D49" s="16">
        <f>IF(A49&gt;$M$4,"",C49-B49)</f>
        <v/>
      </c>
      <c r="E49" s="21">
        <f>IF(A49&gt;$M$4,"",$M$3)</f>
        <v/>
      </c>
      <c r="F49" s="20">
        <f>IF(A49&gt;$M$4,0,ROUND(I48*$M$3/100*D49/365,2))</f>
        <v/>
      </c>
      <c r="G49" s="20">
        <f>IF(A49&gt;$M$4,0,IF(A49=$M$4,I48+F49,$M$7))</f>
        <v/>
      </c>
      <c r="H49" s="20">
        <f>IF(A49&gt;$M$4,0,G49-F49)</f>
        <v/>
      </c>
      <c r="I49" s="20">
        <f>IF(A49&gt;$M$4,0,MAX(0,I48-H49))</f>
        <v/>
      </c>
      <c r="J49" s="20">
        <f>IF(A49&gt;$M$4,0,G49)</f>
        <v/>
      </c>
    </row>
    <row r="50">
      <c r="A50" s="16" t="n">
        <v>37</v>
      </c>
      <c r="B50" s="17">
        <f>IF(A50&gt;$M$4,"",EDATE($M$5,A50-1))</f>
        <v/>
      </c>
      <c r="C50" s="17">
        <f>IF(A50&gt;$M$4,"",EDATE($M$5,A50))</f>
        <v/>
      </c>
      <c r="D50" s="16">
        <f>IF(A50&gt;$M$4,"",C50-B50)</f>
        <v/>
      </c>
      <c r="E50" s="21">
        <f>IF(A50&gt;$M$4,"",$M$3)</f>
        <v/>
      </c>
      <c r="F50" s="20">
        <f>IF(A50&gt;$M$4,0,ROUND(I49*$M$3/100*D50/365,2))</f>
        <v/>
      </c>
      <c r="G50" s="20">
        <f>IF(A50&gt;$M$4,0,IF(A50=$M$4,I49+F50,$M$7))</f>
        <v/>
      </c>
      <c r="H50" s="20">
        <f>IF(A50&gt;$M$4,0,G50-F50)</f>
        <v/>
      </c>
      <c r="I50" s="20">
        <f>IF(A50&gt;$M$4,0,MAX(0,I49-H50))</f>
        <v/>
      </c>
      <c r="J50" s="20">
        <f>IF(A50&gt;$M$4,0,G50)</f>
        <v/>
      </c>
    </row>
    <row r="51">
      <c r="A51" s="16" t="n">
        <v>38</v>
      </c>
      <c r="B51" s="17">
        <f>IF(A51&gt;$M$4,"",EDATE($M$5,A51-1))</f>
        <v/>
      </c>
      <c r="C51" s="17">
        <f>IF(A51&gt;$M$4,"",EDATE($M$5,A51))</f>
        <v/>
      </c>
      <c r="D51" s="16">
        <f>IF(A51&gt;$M$4,"",C51-B51)</f>
        <v/>
      </c>
      <c r="E51" s="21">
        <f>IF(A51&gt;$M$4,"",$M$3)</f>
        <v/>
      </c>
      <c r="F51" s="20">
        <f>IF(A51&gt;$M$4,0,ROUND(I50*$M$3/100*D51/365,2))</f>
        <v/>
      </c>
      <c r="G51" s="20">
        <f>IF(A51&gt;$M$4,0,IF(A51=$M$4,I50+F51,$M$7))</f>
        <v/>
      </c>
      <c r="H51" s="20">
        <f>IF(A51&gt;$M$4,0,G51-F51)</f>
        <v/>
      </c>
      <c r="I51" s="20">
        <f>IF(A51&gt;$M$4,0,MAX(0,I50-H51))</f>
        <v/>
      </c>
      <c r="J51" s="20">
        <f>IF(A51&gt;$M$4,0,G51)</f>
        <v/>
      </c>
    </row>
    <row r="52">
      <c r="A52" s="16" t="n">
        <v>39</v>
      </c>
      <c r="B52" s="17">
        <f>IF(A52&gt;$M$4,"",EDATE($M$5,A52-1))</f>
        <v/>
      </c>
      <c r="C52" s="17">
        <f>IF(A52&gt;$M$4,"",EDATE($M$5,A52))</f>
        <v/>
      </c>
      <c r="D52" s="16">
        <f>IF(A52&gt;$M$4,"",C52-B52)</f>
        <v/>
      </c>
      <c r="E52" s="21">
        <f>IF(A52&gt;$M$4,"",$M$3)</f>
        <v/>
      </c>
      <c r="F52" s="20">
        <f>IF(A52&gt;$M$4,0,ROUND(I51*$M$3/100*D52/365,2))</f>
        <v/>
      </c>
      <c r="G52" s="20">
        <f>IF(A52&gt;$M$4,0,IF(A52=$M$4,I51+F52,$M$7))</f>
        <v/>
      </c>
      <c r="H52" s="20">
        <f>IF(A52&gt;$M$4,0,G52-F52)</f>
        <v/>
      </c>
      <c r="I52" s="20">
        <f>IF(A52&gt;$M$4,0,MAX(0,I51-H52))</f>
        <v/>
      </c>
      <c r="J52" s="20">
        <f>IF(A52&gt;$M$4,0,G52)</f>
        <v/>
      </c>
    </row>
    <row r="53">
      <c r="A53" s="16" t="n">
        <v>40</v>
      </c>
      <c r="B53" s="17">
        <f>IF(A53&gt;$M$4,"",EDATE($M$5,A53-1))</f>
        <v/>
      </c>
      <c r="C53" s="17">
        <f>IF(A53&gt;$M$4,"",EDATE($M$5,A53))</f>
        <v/>
      </c>
      <c r="D53" s="16">
        <f>IF(A53&gt;$M$4,"",C53-B53)</f>
        <v/>
      </c>
      <c r="E53" s="21">
        <f>IF(A53&gt;$M$4,"",$M$3)</f>
        <v/>
      </c>
      <c r="F53" s="20">
        <f>IF(A53&gt;$M$4,0,ROUND(I52*$M$3/100*D53/365,2))</f>
        <v/>
      </c>
      <c r="G53" s="20">
        <f>IF(A53&gt;$M$4,0,IF(A53=$M$4,I52+F53,$M$7))</f>
        <v/>
      </c>
      <c r="H53" s="20">
        <f>IF(A53&gt;$M$4,0,G53-F53)</f>
        <v/>
      </c>
      <c r="I53" s="20">
        <f>IF(A53&gt;$M$4,0,MAX(0,I52-H53))</f>
        <v/>
      </c>
      <c r="J53" s="20">
        <f>IF(A53&gt;$M$4,0,G53)</f>
        <v/>
      </c>
    </row>
    <row r="54">
      <c r="A54" s="16" t="n">
        <v>41</v>
      </c>
      <c r="B54" s="17">
        <f>IF(A54&gt;$M$4,"",EDATE($M$5,A54-1))</f>
        <v/>
      </c>
      <c r="C54" s="17">
        <f>IF(A54&gt;$M$4,"",EDATE($M$5,A54))</f>
        <v/>
      </c>
      <c r="D54" s="16">
        <f>IF(A54&gt;$M$4,"",C54-B54)</f>
        <v/>
      </c>
      <c r="E54" s="21">
        <f>IF(A54&gt;$M$4,"",$M$3)</f>
        <v/>
      </c>
      <c r="F54" s="20">
        <f>IF(A54&gt;$M$4,0,ROUND(I53*$M$3/100*D54/365,2))</f>
        <v/>
      </c>
      <c r="G54" s="20">
        <f>IF(A54&gt;$M$4,0,IF(A54=$M$4,I53+F54,$M$7))</f>
        <v/>
      </c>
      <c r="H54" s="20">
        <f>IF(A54&gt;$M$4,0,G54-F54)</f>
        <v/>
      </c>
      <c r="I54" s="20">
        <f>IF(A54&gt;$M$4,0,MAX(0,I53-H54))</f>
        <v/>
      </c>
      <c r="J54" s="20">
        <f>IF(A54&gt;$M$4,0,G54)</f>
        <v/>
      </c>
    </row>
    <row r="55">
      <c r="A55" s="16" t="n">
        <v>42</v>
      </c>
      <c r="B55" s="17">
        <f>IF(A55&gt;$M$4,"",EDATE($M$5,A55-1))</f>
        <v/>
      </c>
      <c r="C55" s="17">
        <f>IF(A55&gt;$M$4,"",EDATE($M$5,A55))</f>
        <v/>
      </c>
      <c r="D55" s="16">
        <f>IF(A55&gt;$M$4,"",C55-B55)</f>
        <v/>
      </c>
      <c r="E55" s="21">
        <f>IF(A55&gt;$M$4,"",$M$3)</f>
        <v/>
      </c>
      <c r="F55" s="20">
        <f>IF(A55&gt;$M$4,0,ROUND(I54*$M$3/100*D55/365,2))</f>
        <v/>
      </c>
      <c r="G55" s="20">
        <f>IF(A55&gt;$M$4,0,IF(A55=$M$4,I54+F55,$M$7))</f>
        <v/>
      </c>
      <c r="H55" s="20">
        <f>IF(A55&gt;$M$4,0,G55-F55)</f>
        <v/>
      </c>
      <c r="I55" s="20">
        <f>IF(A55&gt;$M$4,0,MAX(0,I54-H55))</f>
        <v/>
      </c>
      <c r="J55" s="20">
        <f>IF(A55&gt;$M$4,0,G55)</f>
        <v/>
      </c>
    </row>
    <row r="56">
      <c r="A56" s="16" t="n">
        <v>43</v>
      </c>
      <c r="B56" s="17">
        <f>IF(A56&gt;$M$4,"",EDATE($M$5,A56-1))</f>
        <v/>
      </c>
      <c r="C56" s="17">
        <f>IF(A56&gt;$M$4,"",EDATE($M$5,A56))</f>
        <v/>
      </c>
      <c r="D56" s="16">
        <f>IF(A56&gt;$M$4,"",C56-B56)</f>
        <v/>
      </c>
      <c r="E56" s="21">
        <f>IF(A56&gt;$M$4,"",$M$3)</f>
        <v/>
      </c>
      <c r="F56" s="20">
        <f>IF(A56&gt;$M$4,0,ROUND(I55*$M$3/100*D56/365,2))</f>
        <v/>
      </c>
      <c r="G56" s="20">
        <f>IF(A56&gt;$M$4,0,IF(A56=$M$4,I55+F56,$M$7))</f>
        <v/>
      </c>
      <c r="H56" s="20">
        <f>IF(A56&gt;$M$4,0,G56-F56)</f>
        <v/>
      </c>
      <c r="I56" s="20">
        <f>IF(A56&gt;$M$4,0,MAX(0,I55-H56))</f>
        <v/>
      </c>
      <c r="J56" s="20">
        <f>IF(A56&gt;$M$4,0,G56)</f>
        <v/>
      </c>
    </row>
    <row r="57">
      <c r="A57" s="16" t="n">
        <v>44</v>
      </c>
      <c r="B57" s="17">
        <f>IF(A57&gt;$M$4,"",EDATE($M$5,A57-1))</f>
        <v/>
      </c>
      <c r="C57" s="17">
        <f>IF(A57&gt;$M$4,"",EDATE($M$5,A57))</f>
        <v/>
      </c>
      <c r="D57" s="16">
        <f>IF(A57&gt;$M$4,"",C57-B57)</f>
        <v/>
      </c>
      <c r="E57" s="21">
        <f>IF(A57&gt;$M$4,"",$M$3)</f>
        <v/>
      </c>
      <c r="F57" s="20">
        <f>IF(A57&gt;$M$4,0,ROUND(I56*$M$3/100*D57/365,2))</f>
        <v/>
      </c>
      <c r="G57" s="20">
        <f>IF(A57&gt;$M$4,0,IF(A57=$M$4,I56+F57,$M$7))</f>
        <v/>
      </c>
      <c r="H57" s="20">
        <f>IF(A57&gt;$M$4,0,G57-F57)</f>
        <v/>
      </c>
      <c r="I57" s="20">
        <f>IF(A57&gt;$M$4,0,MAX(0,I56-H57))</f>
        <v/>
      </c>
      <c r="J57" s="20">
        <f>IF(A57&gt;$M$4,0,G57)</f>
        <v/>
      </c>
    </row>
    <row r="58">
      <c r="A58" s="16" t="n">
        <v>45</v>
      </c>
      <c r="B58" s="17">
        <f>IF(A58&gt;$M$4,"",EDATE($M$5,A58-1))</f>
        <v/>
      </c>
      <c r="C58" s="17">
        <f>IF(A58&gt;$M$4,"",EDATE($M$5,A58))</f>
        <v/>
      </c>
      <c r="D58" s="16">
        <f>IF(A58&gt;$M$4,"",C58-B58)</f>
        <v/>
      </c>
      <c r="E58" s="21">
        <f>IF(A58&gt;$M$4,"",$M$3)</f>
        <v/>
      </c>
      <c r="F58" s="20">
        <f>IF(A58&gt;$M$4,0,ROUND(I57*$M$3/100*D58/365,2))</f>
        <v/>
      </c>
      <c r="G58" s="20">
        <f>IF(A58&gt;$M$4,0,IF(A58=$M$4,I57+F58,$M$7))</f>
        <v/>
      </c>
      <c r="H58" s="20">
        <f>IF(A58&gt;$M$4,0,G58-F58)</f>
        <v/>
      </c>
      <c r="I58" s="20">
        <f>IF(A58&gt;$M$4,0,MAX(0,I57-H58))</f>
        <v/>
      </c>
      <c r="J58" s="20">
        <f>IF(A58&gt;$M$4,0,G58)</f>
        <v/>
      </c>
    </row>
    <row r="59">
      <c r="A59" s="16" t="n">
        <v>46</v>
      </c>
      <c r="B59" s="17">
        <f>IF(A59&gt;$M$4,"",EDATE($M$5,A59-1))</f>
        <v/>
      </c>
      <c r="C59" s="17">
        <f>IF(A59&gt;$M$4,"",EDATE($M$5,A59))</f>
        <v/>
      </c>
      <c r="D59" s="16">
        <f>IF(A59&gt;$M$4,"",C59-B59)</f>
        <v/>
      </c>
      <c r="E59" s="21">
        <f>IF(A59&gt;$M$4,"",$M$3)</f>
        <v/>
      </c>
      <c r="F59" s="20">
        <f>IF(A59&gt;$M$4,0,ROUND(I58*$M$3/100*D59/365,2))</f>
        <v/>
      </c>
      <c r="G59" s="20">
        <f>IF(A59&gt;$M$4,0,IF(A59=$M$4,I58+F59,$M$7))</f>
        <v/>
      </c>
      <c r="H59" s="20">
        <f>IF(A59&gt;$M$4,0,G59-F59)</f>
        <v/>
      </c>
      <c r="I59" s="20">
        <f>IF(A59&gt;$M$4,0,MAX(0,I58-H59))</f>
        <v/>
      </c>
      <c r="J59" s="20">
        <f>IF(A59&gt;$M$4,0,G59)</f>
        <v/>
      </c>
    </row>
    <row r="60">
      <c r="A60" s="16" t="n">
        <v>47</v>
      </c>
      <c r="B60" s="17">
        <f>IF(A60&gt;$M$4,"",EDATE($M$5,A60-1))</f>
        <v/>
      </c>
      <c r="C60" s="17">
        <f>IF(A60&gt;$M$4,"",EDATE($M$5,A60))</f>
        <v/>
      </c>
      <c r="D60" s="16">
        <f>IF(A60&gt;$M$4,"",C60-B60)</f>
        <v/>
      </c>
      <c r="E60" s="21">
        <f>IF(A60&gt;$M$4,"",$M$3)</f>
        <v/>
      </c>
      <c r="F60" s="20">
        <f>IF(A60&gt;$M$4,0,ROUND(I59*$M$3/100*D60/365,2))</f>
        <v/>
      </c>
      <c r="G60" s="20">
        <f>IF(A60&gt;$M$4,0,IF(A60=$M$4,I59+F60,$M$7))</f>
        <v/>
      </c>
      <c r="H60" s="20">
        <f>IF(A60&gt;$M$4,0,G60-F60)</f>
        <v/>
      </c>
      <c r="I60" s="20">
        <f>IF(A60&gt;$M$4,0,MAX(0,I59-H60))</f>
        <v/>
      </c>
      <c r="J60" s="20">
        <f>IF(A60&gt;$M$4,0,G60)</f>
        <v/>
      </c>
    </row>
    <row r="61">
      <c r="A61" s="16" t="n">
        <v>48</v>
      </c>
      <c r="B61" s="17">
        <f>IF(A61&gt;$M$4,"",EDATE($M$5,A61-1))</f>
        <v/>
      </c>
      <c r="C61" s="17">
        <f>IF(A61&gt;$M$4,"",EDATE($M$5,A61))</f>
        <v/>
      </c>
      <c r="D61" s="16">
        <f>IF(A61&gt;$M$4,"",C61-B61)</f>
        <v/>
      </c>
      <c r="E61" s="21">
        <f>IF(A61&gt;$M$4,"",$M$3)</f>
        <v/>
      </c>
      <c r="F61" s="20">
        <f>IF(A61&gt;$M$4,0,ROUND(I60*$M$3/100*D61/365,2))</f>
        <v/>
      </c>
      <c r="G61" s="20">
        <f>IF(A61&gt;$M$4,0,IF(A61=$M$4,I60+F61,$M$7))</f>
        <v/>
      </c>
      <c r="H61" s="20">
        <f>IF(A61&gt;$M$4,0,G61-F61)</f>
        <v/>
      </c>
      <c r="I61" s="20">
        <f>IF(A61&gt;$M$4,0,MAX(0,I60-H61))</f>
        <v/>
      </c>
      <c r="J61" s="20">
        <f>IF(A61&gt;$M$4,0,G61)</f>
        <v/>
      </c>
    </row>
    <row r="62">
      <c r="A62" s="16" t="n">
        <v>49</v>
      </c>
      <c r="B62" s="17">
        <f>IF(A62&gt;$M$4,"",EDATE($M$5,A62-1))</f>
        <v/>
      </c>
      <c r="C62" s="17">
        <f>IF(A62&gt;$M$4,"",EDATE($M$5,A62))</f>
        <v/>
      </c>
      <c r="D62" s="16">
        <f>IF(A62&gt;$M$4,"",C62-B62)</f>
        <v/>
      </c>
      <c r="E62" s="21">
        <f>IF(A62&gt;$M$4,"",$M$3)</f>
        <v/>
      </c>
      <c r="F62" s="20">
        <f>IF(A62&gt;$M$4,0,ROUND(I61*$M$3/100*D62/365,2))</f>
        <v/>
      </c>
      <c r="G62" s="20">
        <f>IF(A62&gt;$M$4,0,IF(A62=$M$4,I61+F62,$M$7))</f>
        <v/>
      </c>
      <c r="H62" s="20">
        <f>IF(A62&gt;$M$4,0,G62-F62)</f>
        <v/>
      </c>
      <c r="I62" s="20">
        <f>IF(A62&gt;$M$4,0,MAX(0,I61-H62))</f>
        <v/>
      </c>
      <c r="J62" s="20">
        <f>IF(A62&gt;$M$4,0,G62)</f>
        <v/>
      </c>
    </row>
    <row r="63">
      <c r="A63" s="16" t="n">
        <v>50</v>
      </c>
      <c r="B63" s="17">
        <f>IF(A63&gt;$M$4,"",EDATE($M$5,A63-1))</f>
        <v/>
      </c>
      <c r="C63" s="17">
        <f>IF(A63&gt;$M$4,"",EDATE($M$5,A63))</f>
        <v/>
      </c>
      <c r="D63" s="16">
        <f>IF(A63&gt;$M$4,"",C63-B63)</f>
        <v/>
      </c>
      <c r="E63" s="21">
        <f>IF(A63&gt;$M$4,"",$M$3)</f>
        <v/>
      </c>
      <c r="F63" s="20">
        <f>IF(A63&gt;$M$4,0,ROUND(I62*$M$3/100*D63/365,2))</f>
        <v/>
      </c>
      <c r="G63" s="20">
        <f>IF(A63&gt;$M$4,0,IF(A63=$M$4,I62+F63,$M$7))</f>
        <v/>
      </c>
      <c r="H63" s="20">
        <f>IF(A63&gt;$M$4,0,G63-F63)</f>
        <v/>
      </c>
      <c r="I63" s="20">
        <f>IF(A63&gt;$M$4,0,MAX(0,I62-H63))</f>
        <v/>
      </c>
      <c r="J63" s="20">
        <f>IF(A63&gt;$M$4,0,G63)</f>
        <v/>
      </c>
    </row>
    <row r="64">
      <c r="A64" s="16" t="n">
        <v>51</v>
      </c>
      <c r="B64" s="17">
        <f>IF(A64&gt;$M$4,"",EDATE($M$5,A64-1))</f>
        <v/>
      </c>
      <c r="C64" s="17">
        <f>IF(A64&gt;$M$4,"",EDATE($M$5,A64))</f>
        <v/>
      </c>
      <c r="D64" s="16">
        <f>IF(A64&gt;$M$4,"",C64-B64)</f>
        <v/>
      </c>
      <c r="E64" s="21">
        <f>IF(A64&gt;$M$4,"",$M$3)</f>
        <v/>
      </c>
      <c r="F64" s="20">
        <f>IF(A64&gt;$M$4,0,ROUND(I63*$M$3/100*D64/365,2))</f>
        <v/>
      </c>
      <c r="G64" s="20">
        <f>IF(A64&gt;$M$4,0,IF(A64=$M$4,I63+F64,$M$7))</f>
        <v/>
      </c>
      <c r="H64" s="20">
        <f>IF(A64&gt;$M$4,0,G64-F64)</f>
        <v/>
      </c>
      <c r="I64" s="20">
        <f>IF(A64&gt;$M$4,0,MAX(0,I63-H64))</f>
        <v/>
      </c>
      <c r="J64" s="20">
        <f>IF(A64&gt;$M$4,0,G64)</f>
        <v/>
      </c>
    </row>
    <row r="65">
      <c r="A65" s="16" t="n">
        <v>52</v>
      </c>
      <c r="B65" s="17">
        <f>IF(A65&gt;$M$4,"",EDATE($M$5,A65-1))</f>
        <v/>
      </c>
      <c r="C65" s="17">
        <f>IF(A65&gt;$M$4,"",EDATE($M$5,A65))</f>
        <v/>
      </c>
      <c r="D65" s="16">
        <f>IF(A65&gt;$M$4,"",C65-B65)</f>
        <v/>
      </c>
      <c r="E65" s="21">
        <f>IF(A65&gt;$M$4,"",$M$3)</f>
        <v/>
      </c>
      <c r="F65" s="20">
        <f>IF(A65&gt;$M$4,0,ROUND(I64*$M$3/100*D65/365,2))</f>
        <v/>
      </c>
      <c r="G65" s="20">
        <f>IF(A65&gt;$M$4,0,IF(A65=$M$4,I64+F65,$M$7))</f>
        <v/>
      </c>
      <c r="H65" s="20">
        <f>IF(A65&gt;$M$4,0,G65-F65)</f>
        <v/>
      </c>
      <c r="I65" s="20">
        <f>IF(A65&gt;$M$4,0,MAX(0,I64-H65))</f>
        <v/>
      </c>
      <c r="J65" s="20">
        <f>IF(A65&gt;$M$4,0,G65)</f>
        <v/>
      </c>
    </row>
    <row r="66">
      <c r="A66" s="16" t="n">
        <v>53</v>
      </c>
      <c r="B66" s="17">
        <f>IF(A66&gt;$M$4,"",EDATE($M$5,A66-1))</f>
        <v/>
      </c>
      <c r="C66" s="17">
        <f>IF(A66&gt;$M$4,"",EDATE($M$5,A66))</f>
        <v/>
      </c>
      <c r="D66" s="16">
        <f>IF(A66&gt;$M$4,"",C66-B66)</f>
        <v/>
      </c>
      <c r="E66" s="21">
        <f>IF(A66&gt;$M$4,"",$M$3)</f>
        <v/>
      </c>
      <c r="F66" s="20">
        <f>IF(A66&gt;$M$4,0,ROUND(I65*$M$3/100*D66/365,2))</f>
        <v/>
      </c>
      <c r="G66" s="20">
        <f>IF(A66&gt;$M$4,0,IF(A66=$M$4,I65+F66,$M$7))</f>
        <v/>
      </c>
      <c r="H66" s="20">
        <f>IF(A66&gt;$M$4,0,G66-F66)</f>
        <v/>
      </c>
      <c r="I66" s="20">
        <f>IF(A66&gt;$M$4,0,MAX(0,I65-H66))</f>
        <v/>
      </c>
      <c r="J66" s="20">
        <f>IF(A66&gt;$M$4,0,G66)</f>
        <v/>
      </c>
    </row>
    <row r="67">
      <c r="A67" s="16" t="n">
        <v>54</v>
      </c>
      <c r="B67" s="17">
        <f>IF(A67&gt;$M$4,"",EDATE($M$5,A67-1))</f>
        <v/>
      </c>
      <c r="C67" s="17">
        <f>IF(A67&gt;$M$4,"",EDATE($M$5,A67))</f>
        <v/>
      </c>
      <c r="D67" s="16">
        <f>IF(A67&gt;$M$4,"",C67-B67)</f>
        <v/>
      </c>
      <c r="E67" s="21">
        <f>IF(A67&gt;$M$4,"",$M$3)</f>
        <v/>
      </c>
      <c r="F67" s="20">
        <f>IF(A67&gt;$M$4,0,ROUND(I66*$M$3/100*D67/365,2))</f>
        <v/>
      </c>
      <c r="G67" s="20">
        <f>IF(A67&gt;$M$4,0,IF(A67=$M$4,I66+F67,$M$7))</f>
        <v/>
      </c>
      <c r="H67" s="20">
        <f>IF(A67&gt;$M$4,0,G67-F67)</f>
        <v/>
      </c>
      <c r="I67" s="20">
        <f>IF(A67&gt;$M$4,0,MAX(0,I66-H67))</f>
        <v/>
      </c>
      <c r="J67" s="20">
        <f>IF(A67&gt;$M$4,0,G67)</f>
        <v/>
      </c>
    </row>
    <row r="68">
      <c r="A68" s="16" t="n">
        <v>55</v>
      </c>
      <c r="B68" s="17">
        <f>IF(A68&gt;$M$4,"",EDATE($M$5,A68-1))</f>
        <v/>
      </c>
      <c r="C68" s="17">
        <f>IF(A68&gt;$M$4,"",EDATE($M$5,A68))</f>
        <v/>
      </c>
      <c r="D68" s="16">
        <f>IF(A68&gt;$M$4,"",C68-B68)</f>
        <v/>
      </c>
      <c r="E68" s="21">
        <f>IF(A68&gt;$M$4,"",$M$3)</f>
        <v/>
      </c>
      <c r="F68" s="20">
        <f>IF(A68&gt;$M$4,0,ROUND(I67*$M$3/100*D68/365,2))</f>
        <v/>
      </c>
      <c r="G68" s="20">
        <f>IF(A68&gt;$M$4,0,IF(A68=$M$4,I67+F68,$M$7))</f>
        <v/>
      </c>
      <c r="H68" s="20">
        <f>IF(A68&gt;$M$4,0,G68-F68)</f>
        <v/>
      </c>
      <c r="I68" s="20">
        <f>IF(A68&gt;$M$4,0,MAX(0,I67-H68))</f>
        <v/>
      </c>
      <c r="J68" s="20">
        <f>IF(A68&gt;$M$4,0,G68)</f>
        <v/>
      </c>
    </row>
    <row r="69">
      <c r="A69" s="16" t="n">
        <v>56</v>
      </c>
      <c r="B69" s="17">
        <f>IF(A69&gt;$M$4,"",EDATE($M$5,A69-1))</f>
        <v/>
      </c>
      <c r="C69" s="17">
        <f>IF(A69&gt;$M$4,"",EDATE($M$5,A69))</f>
        <v/>
      </c>
      <c r="D69" s="16">
        <f>IF(A69&gt;$M$4,"",C69-B69)</f>
        <v/>
      </c>
      <c r="E69" s="21">
        <f>IF(A69&gt;$M$4,"",$M$3)</f>
        <v/>
      </c>
      <c r="F69" s="20">
        <f>IF(A69&gt;$M$4,0,ROUND(I68*$M$3/100*D69/365,2))</f>
        <v/>
      </c>
      <c r="G69" s="20">
        <f>IF(A69&gt;$M$4,0,IF(A69=$M$4,I68+F69,$M$7))</f>
        <v/>
      </c>
      <c r="H69" s="20">
        <f>IF(A69&gt;$M$4,0,G69-F69)</f>
        <v/>
      </c>
      <c r="I69" s="20">
        <f>IF(A69&gt;$M$4,0,MAX(0,I68-H69))</f>
        <v/>
      </c>
      <c r="J69" s="20">
        <f>IF(A69&gt;$M$4,0,G69)</f>
        <v/>
      </c>
    </row>
    <row r="70">
      <c r="A70" s="16" t="n">
        <v>57</v>
      </c>
      <c r="B70" s="17">
        <f>IF(A70&gt;$M$4,"",EDATE($M$5,A70-1))</f>
        <v/>
      </c>
      <c r="C70" s="17">
        <f>IF(A70&gt;$M$4,"",EDATE($M$5,A70))</f>
        <v/>
      </c>
      <c r="D70" s="16">
        <f>IF(A70&gt;$M$4,"",C70-B70)</f>
        <v/>
      </c>
      <c r="E70" s="21">
        <f>IF(A70&gt;$M$4,"",$M$3)</f>
        <v/>
      </c>
      <c r="F70" s="20">
        <f>IF(A70&gt;$M$4,0,ROUND(I69*$M$3/100*D70/365,2))</f>
        <v/>
      </c>
      <c r="G70" s="20">
        <f>IF(A70&gt;$M$4,0,IF(A70=$M$4,I69+F70,$M$7))</f>
        <v/>
      </c>
      <c r="H70" s="20">
        <f>IF(A70&gt;$M$4,0,G70-F70)</f>
        <v/>
      </c>
      <c r="I70" s="20">
        <f>IF(A70&gt;$M$4,0,MAX(0,I69-H70))</f>
        <v/>
      </c>
      <c r="J70" s="20">
        <f>IF(A70&gt;$M$4,0,G70)</f>
        <v/>
      </c>
    </row>
    <row r="71">
      <c r="A71" s="16" t="n">
        <v>58</v>
      </c>
      <c r="B71" s="17">
        <f>IF(A71&gt;$M$4,"",EDATE($M$5,A71-1))</f>
        <v/>
      </c>
      <c r="C71" s="17">
        <f>IF(A71&gt;$M$4,"",EDATE($M$5,A71))</f>
        <v/>
      </c>
      <c r="D71" s="16">
        <f>IF(A71&gt;$M$4,"",C71-B71)</f>
        <v/>
      </c>
      <c r="E71" s="21">
        <f>IF(A71&gt;$M$4,"",$M$3)</f>
        <v/>
      </c>
      <c r="F71" s="20">
        <f>IF(A71&gt;$M$4,0,ROUND(I70*$M$3/100*D71/365,2))</f>
        <v/>
      </c>
      <c r="G71" s="20">
        <f>IF(A71&gt;$M$4,0,IF(A71=$M$4,I70+F71,$M$7))</f>
        <v/>
      </c>
      <c r="H71" s="20">
        <f>IF(A71&gt;$M$4,0,G71-F71)</f>
        <v/>
      </c>
      <c r="I71" s="20">
        <f>IF(A71&gt;$M$4,0,MAX(0,I70-H71))</f>
        <v/>
      </c>
      <c r="J71" s="20">
        <f>IF(A71&gt;$M$4,0,G71)</f>
        <v/>
      </c>
    </row>
    <row r="72">
      <c r="A72" s="16" t="n">
        <v>59</v>
      </c>
      <c r="B72" s="17">
        <f>IF(A72&gt;$M$4,"",EDATE($M$5,A72-1))</f>
        <v/>
      </c>
      <c r="C72" s="17">
        <f>IF(A72&gt;$M$4,"",EDATE($M$5,A72))</f>
        <v/>
      </c>
      <c r="D72" s="16">
        <f>IF(A72&gt;$M$4,"",C72-B72)</f>
        <v/>
      </c>
      <c r="E72" s="21">
        <f>IF(A72&gt;$M$4,"",$M$3)</f>
        <v/>
      </c>
      <c r="F72" s="20">
        <f>IF(A72&gt;$M$4,0,ROUND(I71*$M$3/100*D72/365,2))</f>
        <v/>
      </c>
      <c r="G72" s="20">
        <f>IF(A72&gt;$M$4,0,IF(A72=$M$4,I71+F72,$M$7))</f>
        <v/>
      </c>
      <c r="H72" s="20">
        <f>IF(A72&gt;$M$4,0,G72-F72)</f>
        <v/>
      </c>
      <c r="I72" s="20">
        <f>IF(A72&gt;$M$4,0,MAX(0,I71-H72))</f>
        <v/>
      </c>
      <c r="J72" s="20">
        <f>IF(A72&gt;$M$4,0,G72)</f>
        <v/>
      </c>
    </row>
    <row r="73">
      <c r="A73" s="16" t="n">
        <v>60</v>
      </c>
      <c r="B73" s="17">
        <f>IF(A73&gt;$M$4,"",EDATE($M$5,A73-1))</f>
        <v/>
      </c>
      <c r="C73" s="17">
        <f>IF(A73&gt;$M$4,"",EDATE($M$5,A73))</f>
        <v/>
      </c>
      <c r="D73" s="16">
        <f>IF(A73&gt;$M$4,"",C73-B73)</f>
        <v/>
      </c>
      <c r="E73" s="21">
        <f>IF(A73&gt;$M$4,"",$M$3)</f>
        <v/>
      </c>
      <c r="F73" s="20">
        <f>IF(A73&gt;$M$4,0,ROUND(I72*$M$3/100*D73/365,2))</f>
        <v/>
      </c>
      <c r="G73" s="20">
        <f>IF(A73&gt;$M$4,0,IF(A73=$M$4,I72+F73,$M$7))</f>
        <v/>
      </c>
      <c r="H73" s="20">
        <f>IF(A73&gt;$M$4,0,G73-F73)</f>
        <v/>
      </c>
      <c r="I73" s="20">
        <f>IF(A73&gt;$M$4,0,MAX(0,I72-H73))</f>
        <v/>
      </c>
      <c r="J73" s="20">
        <f>IF(A73&gt;$M$4,0,G73)</f>
        <v/>
      </c>
    </row>
    <row r="75">
      <c r="A75" s="2" t="inlineStr">
        <is>
          <t>สูตร (ตรงกับระบบ loan-schedule.ts):</t>
        </is>
      </c>
    </row>
    <row r="76">
      <c r="A76" s="3" t="inlineStr">
        <is>
          <t>• Level Installment = PMT(Monthly rate, Term, Principal) · Monthly rate = Annual ÷ 12 (nominal)</t>
        </is>
      </c>
    </row>
    <row r="77">
      <c r="A77" s="3" t="inlineStr">
        <is>
          <t>• Interest แต่ละงวด = ยอดต้นคงเหลือ × Annual% × Days ÷ 365  (actual/365 ตามวันจริง)</t>
        </is>
      </c>
    </row>
    <row r="78">
      <c r="A78" s="3" t="inlineStr">
        <is>
          <t>• Principal = Installment − Interest · งวดสุดท้ายเคลียร์ต้นให้เหลือ 0</t>
        </is>
      </c>
    </row>
    <row r="79">
      <c r="A79" s="3" t="inlineStr">
        <is>
          <t>• Cashflow: งวด 0 = −เงินกู้ · งวด 1..Term = ค่างวด</t>
        </is>
      </c>
    </row>
    <row r="80">
      <c r="A80" s="3" t="inlineStr">
        <is>
          <t>• IRR / Month = IRR(Cashflow) ← อัตราผลตอบแทนต่อเดือนจริง (เหมือนระบบใช้ Newton-Raphson)</t>
        </is>
      </c>
    </row>
    <row r="81">
      <c r="A81" s="3" t="inlineStr">
        <is>
          <t>• IRR / Year (Effective) = (1 + IRR_เดือน)^12 − 1 ← วิธีแปลงต่อปีที่ถูกต้อง</t>
        </is>
      </c>
    </row>
    <row r="82">
      <c r="A82" s="3" t="inlineStr">
        <is>
          <t>• IRR / Year (Nominal) = IRR_เดือน × 12 ← แบบ nominal (ประมาณ) ใช้เทียบ 'อัตราสัญญา ÷ 12'</t>
        </is>
      </c>
    </row>
    <row r="83">
      <c r="A83" s="3" t="inlineStr">
        <is>
          <t>เหตุผล IRR/เดือน ≠ อัตราสัญญา÷12: ค่างวดใช้ PMT (nominal) แต่ดอกคิด actual/365 (วันไม่เท่ากัน) → yield จริงเพี้ยนเล็กน้อย</t>
        </is>
      </c>
    </row>
    <row r="84">
      <c r="A84" s="3" t="inlineStr">
        <is>
          <t>เทียบ ARR(ต่อเดือน) กับ Deficit/Effective(ต่อปี) ต้องปรับฐานเดียวกันก่อน (annualize แบบ effective ไม่ใช่ ×12)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2026-10-01T10:54:44Z</dcterms:created>
  <dcterms:modified xmlns:dcterms="http://purl.org/dc/terms/" xmlns:xsi="http://www.w3.org/2001/XMLSchema-instance" xsi:type="dcterms:W3CDTF">2026-10-01T10:54:45Z</dcterms:modified>
</cp:coreProperties>
</file>