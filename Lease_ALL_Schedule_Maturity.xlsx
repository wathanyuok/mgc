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5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10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15.xml" ContentType="application/vnd.openxmlformats-officedocument.spreadsheetml.worksheet+xml"/>
  <Override PartName="/xl/worksheets/sheet8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P Amortization" sheetId="1" state="visible" r:id="rId3"/>
    <sheet name="HP Maturity" sheetId="2" state="visible" r:id="rId4"/>
    <sheet name="Leasing" sheetId="3" state="visible" r:id="rId5"/>
    <sheet name="Leasing Maturity" sheetId="4" state="visible" r:id="rId6"/>
    <sheet name="Lease Other" sheetId="5" state="visible" r:id="rId7"/>
    <sheet name="Lease Other Maturity" sheetId="6" state="visible" r:id="rId8"/>
    <sheet name="FP Schedule" sheetId="7" state="visible" r:id="rId9"/>
    <sheet name="OD Bank Transaction" sheetId="8" state="visible" r:id="rId10"/>
    <sheet name="OD Schedule" sheetId="9" state="visible" r:id="rId11"/>
    <sheet name="TR Schedule" sheetId="10" state="visible" r:id="rId12"/>
    <sheet name="FXF Fair Value" sheetId="11" state="visible" r:id="rId13"/>
    <sheet name="FXF Portfolio MTM" sheetId="12" state="visible" r:id="rId14"/>
    <sheet name="LC Fee" sheetId="13" state="visible" r:id="rId15"/>
    <sheet name="LC Schedule" sheetId="14" state="visible" r:id="rId16"/>
    <sheet name="PN Schedule" sheetId="15" state="visible" r:id="rId1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<sst xmlns="http://schemas.openxmlformats.org/spreadsheetml/2006/main" count="298" uniqueCount="186">
  <si>
    <t xml:space="preserve">HP-DEMO-001 — Amortization Schedule (เช่าซื้อรถ วิธี gross)</t>
  </si>
  <si>
    <t xml:space="preserve">PRINCIPAL</t>
  </si>
  <si>
    <t xml:space="preserve">VAT (%)</t>
  </si>
  <si>
    <t xml:space="preserve">ROU LIFE (เดือน)</t>
  </si>
  <si>
    <t xml:space="preserve">RATE / YEAR (%)</t>
  </si>
  <si>
    <t xml:space="preserve">INSTALLMENT (จากระบบ)</t>
  </si>
  <si>
    <t xml:space="preserve">ดอกเบี้ยรวมทั้งสัญญา</t>
  </si>
  <si>
    <t xml:space="preserve">TERM (MONTHS)</t>
  </si>
  <si>
    <t xml:space="preserve">PAYMENT START DATE</t>
  </si>
  <si>
    <t xml:space="preserve">VAT รวมทั้งสัญญา</t>
  </si>
  <si>
    <t xml:space="preserve">#</t>
  </si>
  <si>
    <t xml:space="preserve">PAYMENT DATE</t>
  </si>
  <si>
    <t xml:space="preserve">INSTALLMENT</t>
  </si>
  <si>
    <t xml:space="preserve">VAT</t>
  </si>
  <si>
    <t xml:space="preserve">TOTAL INC. VAT</t>
  </si>
  <si>
    <t xml:space="preserve">INTEREST</t>
  </si>
  <si>
    <t xml:space="preserve">ACCUM. INTEREST</t>
  </si>
  <si>
    <t xml:space="preserve">AMORTISATION</t>
  </si>
  <si>
    <t xml:space="preserve">BALANCE</t>
  </si>
  <si>
    <t xml:space="preserve">DEPRECIATION</t>
  </si>
  <si>
    <t xml:space="preserve">ROU BALANCE</t>
  </si>
  <si>
    <t xml:space="preserve">DEFERRED INT. BAL</t>
  </si>
  <si>
    <t xml:space="preserve">VAT BALANCE</t>
  </si>
  <si>
    <t xml:space="preserve">HP-DEMO-001 — Maturity Profile (GL Classification / TFRS16)</t>
  </si>
  <si>
    <t xml:space="preserve">GL Classification — Aging (Current vs Non-current)</t>
  </si>
  <si>
    <t xml:space="preserve">ที่มา / วิธีคิด (อ้างอิงแท็บ HP Amortization)</t>
  </si>
  <si>
    <t xml:space="preserve">Current Portion (≤ 12 เดือน)</t>
  </si>
  <si>
    <t xml:space="preserve">รวม "เงินต้นตัดต่องวด" (คอลัมน์ AMORTISATION สีเขียว) งวดที่ 1–12</t>
  </si>
  <si>
    <t xml:space="preserve">Non-current (&gt; 12 เดือน)</t>
  </si>
  <si>
    <t xml:space="preserve">รวม AMORTISATION (สีเขียว) งวดที่ 13–48  (หรือ Total ลบ Current)</t>
  </si>
  <si>
    <t xml:space="preserve">Total Principal</t>
  </si>
  <si>
    <t xml:space="preserve">เงินต้นตั้งต้น — ช่อง PRINCIPAL</t>
  </si>
  <si>
    <t xml:space="preserve">ภาระผูกพันในอนาคต (เงินต้น + ดอกเบี้ย ยังไม่คิดลด)</t>
  </si>
  <si>
    <t xml:space="preserve">ที่มา / วิธีคิด</t>
  </si>
  <si>
    <t xml:space="preserve">ภายใน 1 ปี</t>
  </si>
  <si>
    <t xml:space="preserve">รวม AMORTISATION (สีเขียว) + INTEREST (สีส้ม) งวดที่ 1–12</t>
  </si>
  <si>
    <t xml:space="preserve">1 - 5 ปี</t>
  </si>
  <si>
    <t xml:space="preserve">รวม AMORTISATION + INTEREST งวดที่ 13–48</t>
  </si>
  <si>
    <t xml:space="preserve">มากกว่า 5 ปี</t>
  </si>
  <si>
    <t xml:space="preserve">งวดเกิน 60 เดือน — มี 48 งวด จึง = 0</t>
  </si>
  <si>
    <t xml:space="preserve">Total Future Cash Flow</t>
  </si>
  <si>
    <t xml:space="preserve">ช่อง PRINCIPAL + ดอกเบี้ยรวมทั้งสัญญา (INTEREST สีส้มรวมทุกงวด)</t>
  </si>
  <si>
    <t xml:space="preserve">Lease Classification: Finance (gross · HP)</t>
  </si>
  <si>
    <t xml:space="preserve">LEASE-DEMO-001 — Leasing (เช่ารถระยะยาว · net/ROU)</t>
  </si>
  <si>
    <t xml:space="preserve">PRINCIPAL / ROU (NPV)</t>
  </si>
  <si>
    <t xml:space="preserve">INSTALLMENT = PMT (แก้เป็นค่าระบบได้)</t>
  </si>
  <si>
    <t xml:space="preserve">UPFRONT (จ่ายล่วงหน้า)</t>
  </si>
  <si>
    <t xml:space="preserve">PRINCIPAL (ตัดต้น)</t>
  </si>
  <si>
    <t xml:space="preserve">LIABILITY BALANCE</t>
  </si>
  <si>
    <t xml:space="preserve">LEASE-DEMO-001 — Maturity Profile</t>
  </si>
  <si>
    <t xml:space="preserve">GL Classification — Aging</t>
  </si>
  <si>
    <t xml:space="preserve">ที่มา / วิธีคิด (อ้างอิงแท็บ schedule)</t>
  </si>
  <si>
    <t xml:space="preserve">รวม "เงินต้นตัดต่องวด" (PRINCIPAL (ตัดต้น) สีเขียว) งวดที่ 1–12</t>
  </si>
  <si>
    <t xml:space="preserve">รวม PRINCIPAL (สีเขียว) งวดที่ 13–36  (หรือ Total ลบ Current)</t>
  </si>
  <si>
    <t xml:space="preserve">เงินต้นตั้งต้น — ช่อง PRINCIPAL / ROU</t>
  </si>
  <si>
    <t xml:space="preserve">รวม PRINCIPAL (สีเขียว) + INTEREST (สีส้ม) งวดที่ 1–12</t>
  </si>
  <si>
    <t xml:space="preserve">รวม PRINCIPAL + INTEREST งวดที่ 13–60</t>
  </si>
  <si>
    <t xml:space="preserve">งวดเกิน 60 เดือน — มี 36 งวด จึง = 0</t>
  </si>
  <si>
    <t xml:space="preserve">Lease Classification: Finance (net/ROU · TFRS16)</t>
  </si>
  <si>
    <t xml:space="preserve">LSO-DEMO-001 — Lease Other (เช่าอาคาร · net/ROU)</t>
  </si>
  <si>
    <t xml:space="preserve">LSO-DEMO-001 — Maturity Profile</t>
  </si>
  <si>
    <t xml:space="preserve">รวม PRINCIPAL (สีเขียว) งวดที่ 13–60  (หรือ Total ลบ Current)</t>
  </si>
  <si>
    <t xml:space="preserve">งวดเกิน 60 เดือน — มี 60 งวด จึง = 0</t>
  </si>
  <si>
    <t xml:space="preserve">FP-DEMO-001 — Schedule Calculate (label ตรงระบบ)</t>
  </si>
  <si>
    <t xml:space="preserve">PRINCIPAL (รวมรถในสต๊อก)</t>
  </si>
  <si>
    <t xml:space="preserve">Curtailment</t>
  </si>
  <si>
    <t xml:space="preserve">Day</t>
  </si>
  <si>
    <t xml:space="preserve">%</t>
  </si>
  <si>
    <t xml:space="preserve">Due Date</t>
  </si>
  <si>
    <t xml:space="preserve">Tier 1</t>
  </si>
  <si>
    <t xml:space="preserve">TRANSACTION DATE</t>
  </si>
  <si>
    <t xml:space="preserve">Tier 2</t>
  </si>
  <si>
    <t xml:space="preserve">MATURITY DATE</t>
  </si>
  <si>
    <t xml:space="preserve">Tier 3</t>
  </si>
  <si>
    <t xml:space="preserve">Period</t>
  </si>
  <si>
    <t xml:space="preserve">Start Date</t>
  </si>
  <si>
    <t xml:space="preserve">End Date</t>
  </si>
  <si>
    <t xml:space="preserve">Due Curtailment</t>
  </si>
  <si>
    <t xml:space="preserve">Interest Rate</t>
  </si>
  <si>
    <t xml:space="preserve">Interest</t>
  </si>
  <si>
    <t xml:space="preserve">Principal Balance</t>
  </si>
  <si>
    <t xml:space="preserve">Interest Balance</t>
  </si>
  <si>
    <t xml:space="preserve">รวม</t>
  </si>
  <si>
    <t xml:space="preserve">label ตรงระบบ: Period · Start/End Date · Day · Due Curtailment (%) · Curtailment (บาท) · Interest Rate · Interest · Principal Balance · Interest Balance · (ระบบมี JE ด้วย)</t>
  </si>
  <si>
    <t xml:space="preserve">OD-DEMO-001 — Bank Transaction (ข้อมูลต้นทาง feed เข้า Schedule Calculate)</t>
  </si>
  <si>
    <t xml:space="preserve">DATE</t>
  </si>
  <si>
    <t xml:space="preserve">TIME</t>
  </si>
  <si>
    <t xml:space="preserve">TXN CODE</t>
  </si>
  <si>
    <t xml:space="preserve">DEBIT</t>
  </si>
  <si>
    <t xml:space="preserve">CREDIT</t>
  </si>
  <si>
    <t xml:space="preserve">SOURCE</t>
  </si>
  <si>
    <t xml:space="preserve">STATEMENT</t>
  </si>
  <si>
    <t xml:space="preserve">10:15</t>
  </si>
  <si>
    <t xml:space="preserve">TRANSFER</t>
  </si>
  <si>
    <t xml:space="preserve">—</t>
  </si>
  <si>
    <t xml:space="preserve">Manual</t>
  </si>
  <si>
    <t xml:space="preserve">2026-07</t>
  </si>
  <si>
    <t xml:space="preserve">2026-08</t>
  </si>
  <si>
    <t xml:space="preserve">10:20</t>
  </si>
  <si>
    <t xml:space="preserve">10:25</t>
  </si>
  <si>
    <t xml:space="preserve">หมายเหตุ: BALANCE = ยอดคงเหลือ ณ รายการนั้น (Manual/Import) · ยอดติดลบ = เบิกเกิน (overdraft) → ยอดนี้ถูกส่งเข้าคอลัมน์ ENDING BALANCE ในแท็บ OD Schedule เพื่อคิดดอกเบี้ย</t>
  </si>
  <si>
    <t xml:space="preserve">OD-DEMO-001 — Schedule Calculate (Overdraft · ดอกเบี้ยรายวัน)</t>
  </si>
  <si>
    <t xml:space="preserve">INTEREST RATE / YEAR (%)</t>
  </si>
  <si>
    <t xml:space="preserve">FACILITY LIMIT (วงเงิน)</t>
  </si>
  <si>
    <t xml:space="preserve">DAYS</t>
  </si>
  <si>
    <t xml:space="preserve">ENDING BALANCE</t>
  </si>
  <si>
    <t xml:space="preserve">INTEREST RATE</t>
  </si>
  <si>
    <t xml:space="preserve">STATUS</t>
  </si>
  <si>
    <t xml:space="preserve">Interest Expense (Outstanding)</t>
  </si>
  <si>
    <t xml:space="preserve">Ending Balance</t>
  </si>
  <si>
    <t xml:space="preserve">Total Ending Balance</t>
  </si>
  <si>
    <t xml:space="preserve">สูตร: INTEREST = |ยอดคงเหลือติดลบ| × RATE% ÷ 100 × DAYS ÷ 365 (คิดเฉพาะวันที่ยอดติดลบ = เบิกเกิน) · STATUS: |ยอด| &gt; วงเงิน = Over Limit · Total Ending Balance = Ending Balance − Interest</t>
  </si>
  <si>
    <t xml:space="preserve">TR-DEMO-001 — Schedule Calculate (Trust Receipt · bullet ไม่มี curtailment)</t>
  </si>
  <si>
    <t xml:space="preserve">PERIOD</t>
  </si>
  <si>
    <t xml:space="preserve">START DATE</t>
  </si>
  <si>
    <t xml:space="preserve">END DATE</t>
  </si>
  <si>
    <t xml:space="preserve">DAY</t>
  </si>
  <si>
    <t xml:space="preserve">PRINCIPAL BALANCE</t>
  </si>
  <si>
    <t xml:space="preserve">INTEREST BALANCE</t>
  </si>
  <si>
    <t xml:space="preserve">Total</t>
  </si>
  <si>
    <t xml:space="preserve">สูตร: INTEREST = PRINCIPAL × RATE% ÷ 100 × DAY ÷ 365 · PRINCIPAL BALANCE คงที่ (bullet จ่ายก้อนเดียวตอนครบ) · INTEREST BALANCE = ดอกเบี้ยประมาณทั้งสัญญา − ดอกสะสม · งวดแบ่งตามสิ้นเดือน</t>
  </si>
  <si>
    <t xml:space="preserve">FXF-DEMO-001 — Fair Value (label ตรงระบบ)</t>
  </si>
  <si>
    <t xml:space="preserve">NOTIONAL (จำนวนเงิน ตปท.)</t>
  </si>
  <si>
    <t xml:space="preserve">CONTRACT RATE (forward)</t>
  </si>
  <si>
    <t xml:space="preserve">DIRECTION (Buy / Sell)</t>
  </si>
  <si>
    <t xml:space="preserve">Buy</t>
  </si>
  <si>
    <t xml:space="preserve">NOTIONAL THB (ยอดตามสัญญา) = NOTIONAL × CONTRACT RATE</t>
  </si>
  <si>
    <t xml:space="preserve">ACCOUNTING PERIOD</t>
  </si>
  <si>
    <t xml:space="preserve">SPOT RATE
(ณ สิ้นงวด)</t>
  </si>
  <si>
    <t xml:space="preserve">FAIR VALUE
(auto)</t>
  </si>
  <si>
    <t xml:space="preserve">UNREALIZED GAIN/LOSS
(auto)</t>
  </si>
  <si>
    <t xml:space="preserve">JE (Dr/Cr)</t>
  </si>
  <si>
    <t xml:space="preserve">สูตร (label ระบบ): FAIR VALUE (auto) = NOTIONAL × SPOT RATE (ณ สิ้นงวด)  ·  UNREALIZED GAIN/LOSS (auto) = FAIR VALUE − NOTIONAL THB (ซื้อ) / NOTIONAL THB − FAIR VALUE (ขาย)</t>
  </si>
  <si>
    <t xml:space="preserve">บวก = กำไร · ลบ = ขาดทุน  ·  ปุ่ม "ตีราคาสิ้นเดือนทั้งพอร์ต" = รันสูตรนี้ทุกสัญญา FXF ที่ Active พร้อมกัน (batch) ตามอัตรา spot per currency</t>
  </si>
  <si>
    <t xml:space="preserve">FX Forward — Monthly Valuation (MTM) · ตีราคาทั้งพอร์ต (label ตรง dialog)</t>
  </si>
  <si>
    <t xml:space="preserve">Valuation Date (สิ้นเดือน)</t>
  </si>
  <si>
    <t xml:space="preserve">Spot Rates per Currency</t>
  </si>
  <si>
    <t xml:space="preserve">USD</t>
  </si>
  <si>
    <t xml:space="preserve">JPY</t>
  </si>
  <si>
    <t xml:space="preserve">EUR</t>
  </si>
  <si>
    <t xml:space="preserve">FXF</t>
  </si>
  <si>
    <t xml:space="preserve">CCY</t>
  </si>
  <si>
    <t xml:space="preserve">DIRECTION</t>
  </si>
  <si>
    <t xml:space="preserve">NOTIONAL</t>
  </si>
  <si>
    <t xml:space="preserve">CONTRACT RATE</t>
  </si>
  <si>
    <t xml:space="preserve">MONTH-END RATE</t>
  </si>
  <si>
    <t xml:space="preserve">MTM (THB)</t>
  </si>
  <si>
    <t xml:space="preserve">FXF-2026-003</t>
  </si>
  <si>
    <t xml:space="preserve">FXF-DEMO-001</t>
  </si>
  <si>
    <t xml:space="preserve">FXF-2026-010</t>
  </si>
  <si>
    <t xml:space="preserve">Sell</t>
  </si>
  <si>
    <t xml:space="preserve">รวม MTM ทั้งพอร์ต</t>
  </si>
  <si>
    <t xml:space="preserve">สูตร MTM (THB) = NOTIONAL × (MONTH-END RATE − CONTRACT RATE)  [Buy] · NOTIONAL × (CONTRACT − MONTH-END) [Sell] · MONTH-END RATE ดึงตาม CCY จากตาราง Spot · กด "ลงบัญชีทั้งหมด" = post ทุกแถวพร้อมกัน</t>
  </si>
  <si>
    <t xml:space="preserve">LC-DEMO-001 — Fee (label ตรงระบบ · 2 โหมด)</t>
  </si>
  <si>
    <t xml:space="preserve">L/C AMOUNT (THB)</t>
  </si>
  <si>
    <t xml:space="preserve">FEE RATE (%)</t>
  </si>
  <si>
    <t xml:space="preserve">FEE MODE (Full-term / Engagement+Pro-rated)</t>
  </si>
  <si>
    <t xml:space="preserve">Full-term</t>
  </si>
  <si>
    <t xml:space="preserve">ENGAGEMENT FEE (THB)</t>
  </si>
  <si>
    <t xml:space="preserve">TERM DAYS (สำหรับ pro-rated)</t>
  </si>
  <si>
    <t xml:space="preserve">L/C Amount (THB)</t>
  </si>
  <si>
    <t xml:space="preserve">Rate Component (Fee Rate %)</t>
  </si>
  <si>
    <t xml:space="preserve">Pro-rated (TERM DAYS / 365)</t>
  </si>
  <si>
    <t xml:space="preserve">Engagement Fee</t>
  </si>
  <si>
    <t xml:space="preserve">💰 Total Fee</t>
  </si>
  <si>
    <t xml:space="preserve">สูตร: Full-term → Total Fee = L/C Amount × Fee Rate%  ·  Engagement+Pro-rated → (Rate Component × TERM DAYS ÷ 365) + Engagement Fee</t>
  </si>
  <si>
    <t xml:space="preserve">วิธีสลับ: คลิกช่อง B5 (FEE MODE) → จะมีลูกศร dropdown ให้เลือก "Full-term" หรือ "Engagement+Pro-rated" → Total Fee เปลี่ยนตามทันที</t>
  </si>
  <si>
    <t xml:space="preserve">LC-DEMO-001 — Schedule Calculate (Prepaid L/C Fee · daily-prorated รายเดือน)</t>
  </si>
  <si>
    <t xml:space="preserve">TOTAL FEE (ลิงก์จากแท็บ LC Fee)</t>
  </si>
  <si>
    <t xml:space="preserve">ISSUE DATE</t>
  </si>
  <si>
    <t xml:space="preserve">EXPIRY DATE</t>
  </si>
  <si>
    <t xml:space="preserve">Total Days = Expiry − Issue</t>
  </si>
  <si>
    <t xml:space="preserve">Daily Rate = Total Fee ÷ Total Days</t>
  </si>
  <si>
    <t xml:space="preserve">START</t>
  </si>
  <si>
    <t xml:space="preserve">END</t>
  </si>
  <si>
    <t xml:space="preserve">FEE AMOUNT</t>
  </si>
  <si>
    <t xml:space="preserve">REMAINING</t>
  </si>
  <si>
    <t xml:space="preserve">จ่าย</t>
  </si>
  <si>
    <t xml:space="preserve">สูตร: TOTAL FEE ลิงก์จากแท็บ LC Fee → สลับโหมดที่นั่น ตารางนี้เปลี่ยนตามอัตโนมัติ · DAILY RATE = TOTAL FEE ÷ Total Days · FEE AMOUNT = DAILY RATE × DAYS (งวดสุดท้ายปิดยอด) · REMAINING ลดจนเป็น 0</t>
  </si>
  <si>
    <t xml:space="preserve">PN-RO1-ORIG-001 — Schedule Calculate (P/N · bullet · label ตรงระบบ)</t>
  </si>
  <si>
    <t xml:space="preserve">RATE (%)</t>
  </si>
  <si>
    <t xml:space="preserve">INTEREST PAID</t>
  </si>
  <si>
    <t xml:space="preserve">PRINCIPAL BAL.</t>
  </si>
  <si>
    <t xml:space="preserve">INTEREST BAL.</t>
  </si>
  <si>
    <t xml:space="preserve">DUE DATE</t>
  </si>
  <si>
    <t xml:space="preserve">สูตร: INTEREST PAID = PRINCIPAL × RATE% ÷ 100 × DAYS ÷ 365 · PRINCIPAL BAL. คงที่ (bullet จ่ายก้อนเดียวตอนครบ) · INTEREST BAL. = ดอกประมาณทั้งสัญญา − ดอกสะสม · DUE DATE = END DATE · งวดแบ่งตามสิ้นเดือน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</si>
</sst>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#,##0"/>
    <numFmt numFmtId="166" formatCode="0"/>
    <numFmt numFmtId="167" formatCode="0.00"/>
    <numFmt numFmtId="168" formatCode="#,##0.00"/>
    <numFmt numFmtId="169" formatCode="dd/mm/yyyy"/>
    <numFmt numFmtId="170" formatCode="0.0000\%"/>
    <numFmt numFmtId="171" formatCode="0.0000"/>
    <numFmt numFmtId="172" formatCode="@"/>
  </numFmts>
  <fonts count="3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sz val="10"/>
      <name val="Arial"/>
      <family val="0"/>
      <charset val="1"/>
    </font>
    <font>
      <b val="true"/>
      <sz val="11"/>
      <color rgb="FF0000FF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7030A0"/>
      <name val="Arial"/>
      <family val="0"/>
      <charset val="1"/>
    </font>
    <font>
      <sz val="10"/>
      <color rgb="FFC55A11"/>
      <name val="Arial"/>
      <family val="0"/>
      <charset val="1"/>
    </font>
    <font>
      <sz val="10"/>
      <color rgb="FF843C0C"/>
      <name val="Arial"/>
      <family val="0"/>
      <charset val="1"/>
    </font>
    <font>
      <sz val="10"/>
      <color rgb="FF548235"/>
      <name val="Arial"/>
      <family val="0"/>
      <charset val="1"/>
    </font>
    <font>
      <sz val="10"/>
      <color rgb="FF2E75B6"/>
      <name val="Arial"/>
      <family val="0"/>
      <charset val="1"/>
    </font>
    <font>
      <sz val="10"/>
      <color rgb="FF808080"/>
      <name val="Arial"/>
      <family val="0"/>
      <charset val="1"/>
    </font>
    <font>
      <sz val="8"/>
      <color rgb="FF999999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0"/>
      <color rgb="FF1F4E78"/>
      <name val="Arial"/>
      <family val="0"/>
      <charset val="1"/>
    </font>
    <font>
      <i val="true"/>
      <sz val="9"/>
      <color rgb="FF555555"/>
      <name val="Arial"/>
      <family val="0"/>
      <charset val="1"/>
    </font>
    <font>
      <sz val="11"/>
      <color rgb="FF0000FF"/>
      <name val="Arial"/>
      <family val="0"/>
      <charset val="1"/>
    </font>
    <font>
      <i val="true"/>
      <sz val="9"/>
      <color rgb="FF666666"/>
      <name val="Arial"/>
      <family val="0"/>
      <charset val="1"/>
    </font>
    <font>
      <sz val="10"/>
      <color rgb="FFC00000"/>
      <name val="Arial"/>
      <family val="0"/>
      <charset val="1"/>
    </font>
    <font>
      <sz val="11"/>
      <color rgb="FF2E75B6"/>
      <name val="Arial"/>
      <family val="0"/>
      <charset val="1"/>
    </font>
    <font>
      <sz val="10"/>
      <color rgb="FF000000"/>
      <name val="Arial"/>
      <family val="0"/>
      <charset val="1"/>
    </font>
    <font>
      <sz val="11"/>
      <color rgb="FFC00000"/>
      <name val="Arial"/>
      <family val="0"/>
      <charset val="1"/>
    </font>
    <font>
      <b val="true"/>
      <sz val="11"/>
      <color rgb="FFC00000"/>
      <name val="Arial"/>
      <family val="0"/>
      <charset val="1"/>
    </font>
    <font>
      <b val="true"/>
      <sz val="11"/>
      <color rgb="FF548235"/>
      <name val="Arial"/>
      <family val="0"/>
      <charset val="1"/>
    </font>
    <font>
      <i val="true"/>
      <sz val="9"/>
      <color rgb="FFC00000"/>
      <name val="Arial"/>
      <family val="0"/>
      <charset val="1"/>
    </font>
    <font>
      <i val="true"/>
      <sz val="9"/>
      <color rgb="FF2E75B6"/>
      <name val="Arial"/>
      <family val="0"/>
      <charset val="1"/>
    </font>
    <font>
      <b val="true"/>
      <sz val="11"/>
      <color rgb="FF2E7D32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FFF2CC"/>
        <bgColor rgb="FFE2EFDA"/>
      </patternFill>
    </fill>
    <fill>
      <patternFill patternType="solid">
        <fgColor rgb="FFE2EFDA"/>
        <bgColor rgb="FFFFF2CC"/>
      </patternFill>
    </fill>
    <fill>
      <patternFill patternType="solid">
        <fgColor rgb="FF1F4E78"/>
        <bgColor rgb="FF003366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5" fontId="6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6" fontId="6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7" fontId="6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8" fontId="6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8" fontId="7" fillId="3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9" fontId="6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8" fillId="4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9" fontId="5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8" fontId="5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8" fontId="9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8" fontId="7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8" fontId="10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8" fontId="11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8" fontId="12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8" fontId="13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8" fontId="1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18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8" fontId="1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9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70" fontId="5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20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19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8" fontId="19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8" fontId="21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22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8" fontId="23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71" fontId="6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8" fontId="24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8" fontId="25" fillId="3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71" fontId="19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8" fontId="26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27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1" fontId="5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72" fontId="6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8" fontId="16" fillId="3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28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29" fillId="3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7" fillId="3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71" fontId="7" fillId="3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2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548235"/>
      <rgbColor rgb="FF800080"/>
      <rgbColor rgb="FF008080"/>
      <rgbColor rgb="FFC0C0C0"/>
      <rgbColor rgb="FF808080"/>
      <rgbColor rgb="FF9999FF"/>
      <rgbColor rgb="FF7030A0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C55A11"/>
      <rgbColor rgb="FF666666"/>
      <rgbColor rgb="FF999999"/>
      <rgbColor rgb="FF003366"/>
      <rgbColor rgb="FF2E7D32"/>
      <rgbColor rgb="FF003300"/>
      <rgbColor rgb="FF333300"/>
      <rgbColor rgb="FF843C0C"/>
      <rgbColor rgb="FF993366"/>
      <rgbColor rgb="FF1F4E78"/>
      <rgbColor rgb="FF555555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5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4"/>
    <col collapsed="false" customWidth="true" hidden="false" outlineLevel="0" max="3" min="2" style="1" width="12"/>
    <col collapsed="false" customWidth="true" hidden="false" outlineLevel="0" max="4" min="4" style="1" width="10"/>
    <col collapsed="false" customWidth="true" hidden="false" outlineLevel="0" max="5" min="5" style="1" width="13"/>
    <col collapsed="false" customWidth="true" hidden="false" outlineLevel="0" max="6" min="6" style="1" width="11"/>
    <col collapsed="false" customWidth="true" hidden="false" outlineLevel="0" max="9" min="7" style="1" width="13"/>
    <col collapsed="false" customWidth="true" hidden="false" outlineLevel="0" max="10" min="10" style="1" width="12"/>
    <col collapsed="false" customWidth="true" hidden="false" outlineLevel="0" max="12" min="11" style="1" width="13"/>
    <col collapsed="false" customWidth="true" hidden="false" outlineLevel="0" max="13" min="13" style="1" width="12"/>
    <col collapsed="false" customWidth="true" hidden="false" outlineLevel="0" max="15" min="15" style="1" width="5"/>
  </cols>
  <sheetData>
    <row r="1" customFormat="false" ht="1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3" customFormat="false" ht="15" hidden="false" customHeight="true" outlineLevel="0" collapsed="false">
      <c r="A3" s="3" t="s">
        <v>1</v>
      </c>
      <c r="B3" s="4" t="n">
        <v>1000000</v>
      </c>
      <c r="D3" s="3" t="s">
        <v>2</v>
      </c>
      <c r="E3" s="5" t="n">
        <v>7</v>
      </c>
      <c r="G3" s="3" t="s">
        <v>3</v>
      </c>
      <c r="H3" s="5" t="n">
        <v>48</v>
      </c>
    </row>
    <row r="4" customFormat="false" ht="15" hidden="false" customHeight="true" outlineLevel="0" collapsed="false">
      <c r="A4" s="3" t="s">
        <v>4</v>
      </c>
      <c r="B4" s="6" t="n">
        <v>5</v>
      </c>
      <c r="D4" s="3" t="s">
        <v>5</v>
      </c>
      <c r="E4" s="7" t="n">
        <v>23029.29</v>
      </c>
      <c r="G4" s="8" t="s">
        <v>6</v>
      </c>
      <c r="H4" s="9" t="n">
        <f aca="false">SUM(F10:F57)</f>
        <v>105506.84</v>
      </c>
    </row>
    <row r="5" customFormat="false" ht="15" hidden="false" customHeight="true" outlineLevel="0" collapsed="false">
      <c r="A5" s="3" t="s">
        <v>7</v>
      </c>
      <c r="B5" s="5" t="n">
        <v>48</v>
      </c>
      <c r="D5" s="3" t="s">
        <v>8</v>
      </c>
      <c r="E5" s="10" t="n">
        <v>46295</v>
      </c>
      <c r="G5" s="8" t="s">
        <v>9</v>
      </c>
      <c r="H5" s="9" t="n">
        <f aca="false">SUM(D10:D57)</f>
        <v>77385.46</v>
      </c>
    </row>
    <row r="9" customFormat="false" ht="23.25" hidden="false" customHeight="true" outlineLevel="0" collapsed="false">
      <c r="A9" s="11" t="s">
        <v>10</v>
      </c>
      <c r="B9" s="11" t="s">
        <v>11</v>
      </c>
      <c r="C9" s="11" t="s">
        <v>12</v>
      </c>
      <c r="D9" s="11" t="s">
        <v>13</v>
      </c>
      <c r="E9" s="11" t="s">
        <v>14</v>
      </c>
      <c r="F9" s="11" t="s">
        <v>15</v>
      </c>
      <c r="G9" s="11" t="s">
        <v>16</v>
      </c>
      <c r="H9" s="11" t="s">
        <v>17</v>
      </c>
      <c r="I9" s="11" t="s">
        <v>18</v>
      </c>
      <c r="J9" s="11" t="s">
        <v>19</v>
      </c>
      <c r="K9" s="11" t="s">
        <v>20</v>
      </c>
      <c r="L9" s="11" t="s">
        <v>21</v>
      </c>
      <c r="M9" s="11" t="s">
        <v>22</v>
      </c>
    </row>
    <row r="10" customFormat="false" ht="15" hidden="false" customHeight="true" outlineLevel="0" collapsed="false">
      <c r="A10" s="3" t="n">
        <v>1</v>
      </c>
      <c r="B10" s="12" t="n">
        <f aca="false">EOMONTH($E$5,1)</f>
        <v>46326</v>
      </c>
      <c r="C10" s="13" t="n">
        <f aca="false">IF(1=$B$5,I9+F10,$E$4)</f>
        <v>23029.29</v>
      </c>
      <c r="D10" s="14" t="n">
        <f aca="false">ROUND(C10*$E$3/100,2)</f>
        <v>1612.05</v>
      </c>
      <c r="E10" s="15" t="n">
        <f aca="false">C10+D10</f>
        <v>24641.34</v>
      </c>
      <c r="F10" s="16" t="n">
        <f aca="false">ROUND($B$3*$B$4/100*O10/365,2)</f>
        <v>4246.58</v>
      </c>
      <c r="G10" s="17" t="n">
        <f aca="false">IF(1=1,F10,G9+F10)</f>
        <v>4246.58</v>
      </c>
      <c r="H10" s="18" t="n">
        <f aca="false">C10-F10</f>
        <v>18782.71</v>
      </c>
      <c r="I10" s="13" t="n">
        <f aca="false">$B$3-H10</f>
        <v>981217.29</v>
      </c>
      <c r="J10" s="19" t="n">
        <f aca="false">ROUND($B$3/$H$3,2)</f>
        <v>20833.33</v>
      </c>
      <c r="K10" s="19" t="n">
        <f aca="false">$B$3-J10</f>
        <v>979166.67</v>
      </c>
      <c r="L10" s="20" t="n">
        <f aca="false">$H$4-G10</f>
        <v>101260.26</v>
      </c>
      <c r="M10" s="20" t="n">
        <f aca="false">ROUND($H$5-SUM($D$10:D10),2)</f>
        <v>75773.41</v>
      </c>
      <c r="O10" s="21" t="n">
        <f aca="false">B10-$E$5</f>
        <v>31</v>
      </c>
    </row>
    <row r="11" customFormat="false" ht="15" hidden="false" customHeight="true" outlineLevel="0" collapsed="false">
      <c r="A11" s="3" t="n">
        <v>2</v>
      </c>
      <c r="B11" s="12" t="n">
        <f aca="false">EOMONTH($E$5,2)</f>
        <v>46356</v>
      </c>
      <c r="C11" s="13" t="n">
        <f aca="false">IF(2=$B$5,I10+F11,$E$4)</f>
        <v>23029.29</v>
      </c>
      <c r="D11" s="14" t="n">
        <f aca="false">ROUND(C11*$E$3/100,2)</f>
        <v>1612.05</v>
      </c>
      <c r="E11" s="15" t="n">
        <f aca="false">C11+D11</f>
        <v>24641.34</v>
      </c>
      <c r="F11" s="16" t="n">
        <f aca="false">ROUND(I10*$B$4/100*O11/365,2)</f>
        <v>4032.4</v>
      </c>
      <c r="G11" s="17" t="n">
        <f aca="false">IF(2=1,F11,G10+F11)</f>
        <v>8278.98</v>
      </c>
      <c r="H11" s="18" t="n">
        <f aca="false">C11-F11</f>
        <v>18996.89</v>
      </c>
      <c r="I11" s="13" t="n">
        <f aca="false">I10-H11</f>
        <v>962220.4</v>
      </c>
      <c r="J11" s="19" t="n">
        <f aca="false">ROUND($B$3/$H$3,2)</f>
        <v>20833.33</v>
      </c>
      <c r="K11" s="19" t="n">
        <f aca="false">K10-J11</f>
        <v>958333.34</v>
      </c>
      <c r="L11" s="20" t="n">
        <f aca="false">$H$4-G11</f>
        <v>97227.86</v>
      </c>
      <c r="M11" s="20" t="n">
        <f aca="false">ROUND($H$5-SUM($D$10:D11),2)</f>
        <v>74161.36</v>
      </c>
      <c r="O11" s="21" t="n">
        <f aca="false">B11-B10</f>
        <v>30</v>
      </c>
    </row>
    <row r="12" customFormat="false" ht="15" hidden="false" customHeight="true" outlineLevel="0" collapsed="false">
      <c r="A12" s="3" t="n">
        <v>3</v>
      </c>
      <c r="B12" s="12" t="n">
        <f aca="false">EOMONTH($E$5,3)</f>
        <v>46387</v>
      </c>
      <c r="C12" s="13" t="n">
        <f aca="false">IF(3=$B$5,I11+F12,$E$4)</f>
        <v>23029.29</v>
      </c>
      <c r="D12" s="14" t="n">
        <f aca="false">ROUND(C12*$E$3/100,2)</f>
        <v>1612.05</v>
      </c>
      <c r="E12" s="15" t="n">
        <f aca="false">C12+D12</f>
        <v>24641.34</v>
      </c>
      <c r="F12" s="16" t="n">
        <f aca="false">ROUND(I11*$B$4/100*O12/365,2)</f>
        <v>4086.14</v>
      </c>
      <c r="G12" s="17" t="n">
        <f aca="false">IF(3=1,F12,G11+F12)</f>
        <v>12365.12</v>
      </c>
      <c r="H12" s="18" t="n">
        <f aca="false">C12-F12</f>
        <v>18943.15</v>
      </c>
      <c r="I12" s="13" t="n">
        <f aca="false">I11-H12</f>
        <v>943277.25</v>
      </c>
      <c r="J12" s="19" t="n">
        <f aca="false">ROUND($B$3/$H$3,2)</f>
        <v>20833.33</v>
      </c>
      <c r="K12" s="19" t="n">
        <f aca="false">K11-J12</f>
        <v>937500.01</v>
      </c>
      <c r="L12" s="20" t="n">
        <f aca="false">$H$4-G12</f>
        <v>93141.72</v>
      </c>
      <c r="M12" s="20" t="n">
        <f aca="false">ROUND($H$5-SUM($D$10:D12),2)</f>
        <v>72549.31</v>
      </c>
      <c r="O12" s="21" t="n">
        <f aca="false">B12-B11</f>
        <v>31</v>
      </c>
    </row>
    <row r="13" customFormat="false" ht="15" hidden="false" customHeight="true" outlineLevel="0" collapsed="false">
      <c r="A13" s="3" t="n">
        <v>4</v>
      </c>
      <c r="B13" s="12" t="n">
        <f aca="false">EOMONTH($E$5,4)</f>
        <v>46418</v>
      </c>
      <c r="C13" s="13" t="n">
        <f aca="false">IF(4=$B$5,I12+F13,$E$4)</f>
        <v>23029.29</v>
      </c>
      <c r="D13" s="14" t="n">
        <f aca="false">ROUND(C13*$E$3/100,2)</f>
        <v>1612.05</v>
      </c>
      <c r="E13" s="15" t="n">
        <f aca="false">C13+D13</f>
        <v>24641.34</v>
      </c>
      <c r="F13" s="16" t="n">
        <f aca="false">ROUND(I12*$B$4/100*O13/365,2)</f>
        <v>4005.7</v>
      </c>
      <c r="G13" s="17" t="n">
        <f aca="false">IF(4=1,F13,G12+F13)</f>
        <v>16370.82</v>
      </c>
      <c r="H13" s="18" t="n">
        <f aca="false">C13-F13</f>
        <v>19023.59</v>
      </c>
      <c r="I13" s="13" t="n">
        <f aca="false">I12-H13</f>
        <v>924253.66</v>
      </c>
      <c r="J13" s="19" t="n">
        <f aca="false">ROUND($B$3/$H$3,2)</f>
        <v>20833.33</v>
      </c>
      <c r="K13" s="19" t="n">
        <f aca="false">K12-J13</f>
        <v>916666.68</v>
      </c>
      <c r="L13" s="20" t="n">
        <f aca="false">$H$4-G13</f>
        <v>89136.02</v>
      </c>
      <c r="M13" s="20" t="n">
        <f aca="false">ROUND($H$5-SUM($D$10:D13),2)</f>
        <v>70937.26</v>
      </c>
      <c r="O13" s="21" t="n">
        <f aca="false">B13-B12</f>
        <v>31</v>
      </c>
    </row>
    <row r="14" customFormat="false" ht="15" hidden="false" customHeight="true" outlineLevel="0" collapsed="false">
      <c r="A14" s="3" t="n">
        <v>5</v>
      </c>
      <c r="B14" s="12" t="n">
        <f aca="false">EOMONTH($E$5,5)</f>
        <v>46446</v>
      </c>
      <c r="C14" s="13" t="n">
        <f aca="false">IF(5=$B$5,I13+F14,$E$4)</f>
        <v>23029.29</v>
      </c>
      <c r="D14" s="14" t="n">
        <f aca="false">ROUND(C14*$E$3/100,2)</f>
        <v>1612.05</v>
      </c>
      <c r="E14" s="15" t="n">
        <f aca="false">C14+D14</f>
        <v>24641.34</v>
      </c>
      <c r="F14" s="16" t="n">
        <f aca="false">ROUND(I13*$B$4/100*O14/365,2)</f>
        <v>3545.08</v>
      </c>
      <c r="G14" s="17" t="n">
        <f aca="false">IF(5=1,F14,G13+F14)</f>
        <v>19915.9</v>
      </c>
      <c r="H14" s="18" t="n">
        <f aca="false">C14-F14</f>
        <v>19484.21</v>
      </c>
      <c r="I14" s="13" t="n">
        <f aca="false">I13-H14</f>
        <v>904769.45</v>
      </c>
      <c r="J14" s="19" t="n">
        <f aca="false">ROUND($B$3/$H$3,2)</f>
        <v>20833.33</v>
      </c>
      <c r="K14" s="19" t="n">
        <f aca="false">K13-J14</f>
        <v>895833.35</v>
      </c>
      <c r="L14" s="20" t="n">
        <f aca="false">$H$4-G14</f>
        <v>85590.94</v>
      </c>
      <c r="M14" s="20" t="n">
        <f aca="false">ROUND($H$5-SUM($D$10:D14),2)</f>
        <v>69325.21</v>
      </c>
      <c r="O14" s="21" t="n">
        <f aca="false">B14-B13</f>
        <v>28</v>
      </c>
    </row>
    <row r="15" customFormat="false" ht="15" hidden="false" customHeight="true" outlineLevel="0" collapsed="false">
      <c r="A15" s="3" t="n">
        <v>6</v>
      </c>
      <c r="B15" s="12" t="n">
        <f aca="false">EOMONTH($E$5,6)</f>
        <v>46477</v>
      </c>
      <c r="C15" s="13" t="n">
        <f aca="false">IF(6=$B$5,I14+F15,$E$4)</f>
        <v>23029.29</v>
      </c>
      <c r="D15" s="14" t="n">
        <f aca="false">ROUND(C15*$E$3/100,2)</f>
        <v>1612.05</v>
      </c>
      <c r="E15" s="15" t="n">
        <f aca="false">C15+D15</f>
        <v>24641.34</v>
      </c>
      <c r="F15" s="16" t="n">
        <f aca="false">ROUND(I14*$B$4/100*O15/365,2)</f>
        <v>3842.17</v>
      </c>
      <c r="G15" s="17" t="n">
        <f aca="false">IF(6=1,F15,G14+F15)</f>
        <v>23758.07</v>
      </c>
      <c r="H15" s="18" t="n">
        <f aca="false">C15-F15</f>
        <v>19187.12</v>
      </c>
      <c r="I15" s="13" t="n">
        <f aca="false">I14-H15</f>
        <v>885582.33</v>
      </c>
      <c r="J15" s="19" t="n">
        <f aca="false">ROUND($B$3/$H$3,2)</f>
        <v>20833.33</v>
      </c>
      <c r="K15" s="19" t="n">
        <f aca="false">K14-J15</f>
        <v>875000.02</v>
      </c>
      <c r="L15" s="20" t="n">
        <f aca="false">$H$4-G15</f>
        <v>81748.77</v>
      </c>
      <c r="M15" s="20" t="n">
        <f aca="false">ROUND($H$5-SUM($D$10:D15),2)</f>
        <v>67713.16</v>
      </c>
      <c r="O15" s="21" t="n">
        <f aca="false">B15-B14</f>
        <v>31</v>
      </c>
    </row>
    <row r="16" customFormat="false" ht="15" hidden="false" customHeight="true" outlineLevel="0" collapsed="false">
      <c r="A16" s="3" t="n">
        <v>7</v>
      </c>
      <c r="B16" s="12" t="n">
        <f aca="false">EOMONTH($E$5,7)</f>
        <v>46507</v>
      </c>
      <c r="C16" s="13" t="n">
        <f aca="false">IF(7=$B$5,I15+F16,$E$4)</f>
        <v>23029.29</v>
      </c>
      <c r="D16" s="14" t="n">
        <f aca="false">ROUND(C16*$E$3/100,2)</f>
        <v>1612.05</v>
      </c>
      <c r="E16" s="15" t="n">
        <f aca="false">C16+D16</f>
        <v>24641.34</v>
      </c>
      <c r="F16" s="16" t="n">
        <f aca="false">ROUND(I15*$B$4/100*O16/365,2)</f>
        <v>3639.38</v>
      </c>
      <c r="G16" s="17" t="n">
        <f aca="false">IF(7=1,F16,G15+F16)</f>
        <v>27397.45</v>
      </c>
      <c r="H16" s="18" t="n">
        <f aca="false">C16-F16</f>
        <v>19389.91</v>
      </c>
      <c r="I16" s="13" t="n">
        <f aca="false">I15-H16</f>
        <v>866192.42</v>
      </c>
      <c r="J16" s="19" t="n">
        <f aca="false">ROUND($B$3/$H$3,2)</f>
        <v>20833.33</v>
      </c>
      <c r="K16" s="19" t="n">
        <f aca="false">K15-J16</f>
        <v>854166.69</v>
      </c>
      <c r="L16" s="20" t="n">
        <f aca="false">$H$4-G16</f>
        <v>78109.39</v>
      </c>
      <c r="M16" s="20" t="n">
        <f aca="false">ROUND($H$5-SUM($D$10:D16),2)</f>
        <v>66101.11</v>
      </c>
      <c r="O16" s="21" t="n">
        <f aca="false">B16-B15</f>
        <v>30</v>
      </c>
    </row>
    <row r="17" customFormat="false" ht="15" hidden="false" customHeight="true" outlineLevel="0" collapsed="false">
      <c r="A17" s="3" t="n">
        <v>8</v>
      </c>
      <c r="B17" s="12" t="n">
        <f aca="false">EOMONTH($E$5,8)</f>
        <v>46538</v>
      </c>
      <c r="C17" s="13" t="n">
        <f aca="false">IF(8=$B$5,I16+F17,$E$4)</f>
        <v>23029.29</v>
      </c>
      <c r="D17" s="14" t="n">
        <f aca="false">ROUND(C17*$E$3/100,2)</f>
        <v>1612.05</v>
      </c>
      <c r="E17" s="15" t="n">
        <f aca="false">C17+D17</f>
        <v>24641.34</v>
      </c>
      <c r="F17" s="16" t="n">
        <f aca="false">ROUND(I16*$B$4/100*O17/365,2)</f>
        <v>3678.35</v>
      </c>
      <c r="G17" s="17" t="n">
        <f aca="false">IF(8=1,F17,G16+F17)</f>
        <v>31075.8</v>
      </c>
      <c r="H17" s="18" t="n">
        <f aca="false">C17-F17</f>
        <v>19350.94</v>
      </c>
      <c r="I17" s="13" t="n">
        <f aca="false">I16-H17</f>
        <v>846841.48</v>
      </c>
      <c r="J17" s="19" t="n">
        <f aca="false">ROUND($B$3/$H$3,2)</f>
        <v>20833.33</v>
      </c>
      <c r="K17" s="19" t="n">
        <f aca="false">K16-J17</f>
        <v>833333.36</v>
      </c>
      <c r="L17" s="20" t="n">
        <f aca="false">$H$4-G17</f>
        <v>74431.04</v>
      </c>
      <c r="M17" s="20" t="n">
        <f aca="false">ROUND($H$5-SUM($D$10:D17),2)</f>
        <v>64489.06</v>
      </c>
      <c r="O17" s="21" t="n">
        <f aca="false">B17-B16</f>
        <v>31</v>
      </c>
    </row>
    <row r="18" customFormat="false" ht="15" hidden="false" customHeight="true" outlineLevel="0" collapsed="false">
      <c r="A18" s="3" t="n">
        <v>9</v>
      </c>
      <c r="B18" s="12" t="n">
        <f aca="false">EOMONTH($E$5,9)</f>
        <v>46568</v>
      </c>
      <c r="C18" s="13" t="n">
        <f aca="false">IF(9=$B$5,I17+F18,$E$4)</f>
        <v>23029.29</v>
      </c>
      <c r="D18" s="14" t="n">
        <f aca="false">ROUND(C18*$E$3/100,2)</f>
        <v>1612.05</v>
      </c>
      <c r="E18" s="15" t="n">
        <f aca="false">C18+D18</f>
        <v>24641.34</v>
      </c>
      <c r="F18" s="16" t="n">
        <f aca="false">ROUND(I17*$B$4/100*O18/365,2)</f>
        <v>3480.17</v>
      </c>
      <c r="G18" s="17" t="n">
        <f aca="false">IF(9=1,F18,G17+F18)</f>
        <v>34555.97</v>
      </c>
      <c r="H18" s="18" t="n">
        <f aca="false">C18-F18</f>
        <v>19549.12</v>
      </c>
      <c r="I18" s="13" t="n">
        <f aca="false">I17-H18</f>
        <v>827292.36</v>
      </c>
      <c r="J18" s="19" t="n">
        <f aca="false">ROUND($B$3/$H$3,2)</f>
        <v>20833.33</v>
      </c>
      <c r="K18" s="19" t="n">
        <f aca="false">K17-J18</f>
        <v>812500.03</v>
      </c>
      <c r="L18" s="20" t="n">
        <f aca="false">$H$4-G18</f>
        <v>70950.87</v>
      </c>
      <c r="M18" s="20" t="n">
        <f aca="false">ROUND($H$5-SUM($D$10:D18),2)</f>
        <v>62877.01</v>
      </c>
      <c r="O18" s="21" t="n">
        <f aca="false">B18-B17</f>
        <v>30</v>
      </c>
    </row>
    <row r="19" customFormat="false" ht="15" hidden="false" customHeight="true" outlineLevel="0" collapsed="false">
      <c r="A19" s="3" t="n">
        <v>10</v>
      </c>
      <c r="B19" s="12" t="n">
        <f aca="false">EOMONTH($E$5,10)</f>
        <v>46599</v>
      </c>
      <c r="C19" s="13" t="n">
        <f aca="false">IF(10=$B$5,I18+F19,$E$4)</f>
        <v>23029.29</v>
      </c>
      <c r="D19" s="14" t="n">
        <f aca="false">ROUND(C19*$E$3/100,2)</f>
        <v>1612.05</v>
      </c>
      <c r="E19" s="15" t="n">
        <f aca="false">C19+D19</f>
        <v>24641.34</v>
      </c>
      <c r="F19" s="16" t="n">
        <f aca="false">ROUND(I18*$B$4/100*O19/365,2)</f>
        <v>3513.16</v>
      </c>
      <c r="G19" s="17" t="n">
        <f aca="false">IF(10=1,F19,G18+F19)</f>
        <v>38069.13</v>
      </c>
      <c r="H19" s="18" t="n">
        <f aca="false">C19-F19</f>
        <v>19516.13</v>
      </c>
      <c r="I19" s="13" t="n">
        <f aca="false">I18-H19</f>
        <v>807776.23</v>
      </c>
      <c r="J19" s="19" t="n">
        <f aca="false">ROUND($B$3/$H$3,2)</f>
        <v>20833.33</v>
      </c>
      <c r="K19" s="19" t="n">
        <f aca="false">K18-J19</f>
        <v>791666.7</v>
      </c>
      <c r="L19" s="20" t="n">
        <f aca="false">$H$4-G19</f>
        <v>67437.71</v>
      </c>
      <c r="M19" s="20" t="n">
        <f aca="false">ROUND($H$5-SUM($D$10:D19),2)</f>
        <v>61264.96</v>
      </c>
      <c r="O19" s="21" t="n">
        <f aca="false">B19-B18</f>
        <v>31</v>
      </c>
    </row>
    <row r="20" customFormat="false" ht="15" hidden="false" customHeight="true" outlineLevel="0" collapsed="false">
      <c r="A20" s="3" t="n">
        <v>11</v>
      </c>
      <c r="B20" s="12" t="n">
        <f aca="false">EOMONTH($E$5,11)</f>
        <v>46630</v>
      </c>
      <c r="C20" s="13" t="n">
        <f aca="false">IF(11=$B$5,I19+F20,$E$4)</f>
        <v>23029.29</v>
      </c>
      <c r="D20" s="14" t="n">
        <f aca="false">ROUND(C20*$E$3/100,2)</f>
        <v>1612.05</v>
      </c>
      <c r="E20" s="15" t="n">
        <f aca="false">C20+D20</f>
        <v>24641.34</v>
      </c>
      <c r="F20" s="16" t="n">
        <f aca="false">ROUND(I19*$B$4/100*O20/365,2)</f>
        <v>3430.28</v>
      </c>
      <c r="G20" s="17" t="n">
        <f aca="false">IF(11=1,F20,G19+F20)</f>
        <v>41499.41</v>
      </c>
      <c r="H20" s="18" t="n">
        <f aca="false">C20-F20</f>
        <v>19599.01</v>
      </c>
      <c r="I20" s="13" t="n">
        <f aca="false">I19-H20</f>
        <v>788177.22</v>
      </c>
      <c r="J20" s="19" t="n">
        <f aca="false">ROUND($B$3/$H$3,2)</f>
        <v>20833.33</v>
      </c>
      <c r="K20" s="19" t="n">
        <f aca="false">K19-J20</f>
        <v>770833.370000001</v>
      </c>
      <c r="L20" s="20" t="n">
        <f aca="false">$H$4-G20</f>
        <v>64007.43</v>
      </c>
      <c r="M20" s="20" t="n">
        <f aca="false">ROUND($H$5-SUM($D$10:D20),2)</f>
        <v>59652.91</v>
      </c>
      <c r="O20" s="21" t="n">
        <f aca="false">B20-B19</f>
        <v>31</v>
      </c>
    </row>
    <row r="21" customFormat="false" ht="15" hidden="false" customHeight="true" outlineLevel="0" collapsed="false">
      <c r="A21" s="3" t="n">
        <v>12</v>
      </c>
      <c r="B21" s="12" t="n">
        <f aca="false">EOMONTH($E$5,12)</f>
        <v>46660</v>
      </c>
      <c r="C21" s="13" t="n">
        <f aca="false">IF(12=$B$5,I20+F21,$E$4)</f>
        <v>23029.29</v>
      </c>
      <c r="D21" s="14" t="n">
        <f aca="false">ROUND(C21*$E$3/100,2)</f>
        <v>1612.05</v>
      </c>
      <c r="E21" s="15" t="n">
        <f aca="false">C21+D21</f>
        <v>24641.34</v>
      </c>
      <c r="F21" s="16" t="n">
        <f aca="false">ROUND(I20*$B$4/100*O21/365,2)</f>
        <v>3239.08</v>
      </c>
      <c r="G21" s="17" t="n">
        <f aca="false">IF(12=1,F21,G20+F21)</f>
        <v>44738.49</v>
      </c>
      <c r="H21" s="18" t="n">
        <f aca="false">C21-F21</f>
        <v>19790.21</v>
      </c>
      <c r="I21" s="13" t="n">
        <f aca="false">I20-H21</f>
        <v>768387.01</v>
      </c>
      <c r="J21" s="19" t="n">
        <f aca="false">ROUND($B$3/$H$3,2)</f>
        <v>20833.33</v>
      </c>
      <c r="K21" s="19" t="n">
        <f aca="false">K20-J21</f>
        <v>750000.040000001</v>
      </c>
      <c r="L21" s="20" t="n">
        <f aca="false">$H$4-G21</f>
        <v>60768.35</v>
      </c>
      <c r="M21" s="20" t="n">
        <f aca="false">ROUND($H$5-SUM($D$10:D21),2)</f>
        <v>58040.86</v>
      </c>
      <c r="O21" s="21" t="n">
        <f aca="false">B21-B20</f>
        <v>30</v>
      </c>
    </row>
    <row r="22" customFormat="false" ht="15" hidden="false" customHeight="true" outlineLevel="0" collapsed="false">
      <c r="A22" s="3" t="n">
        <v>13</v>
      </c>
      <c r="B22" s="12" t="n">
        <f aca="false">EOMONTH($E$5,13)</f>
        <v>46691</v>
      </c>
      <c r="C22" s="13" t="n">
        <f aca="false">IF(13=$B$5,I21+F22,$E$4)</f>
        <v>23029.29</v>
      </c>
      <c r="D22" s="14" t="n">
        <f aca="false">ROUND(C22*$E$3/100,2)</f>
        <v>1612.05</v>
      </c>
      <c r="E22" s="15" t="n">
        <f aca="false">C22+D22</f>
        <v>24641.34</v>
      </c>
      <c r="F22" s="16" t="n">
        <f aca="false">ROUND(I21*$B$4/100*O22/365,2)</f>
        <v>3263.01</v>
      </c>
      <c r="G22" s="17" t="n">
        <f aca="false">IF(13=1,F22,G21+F22)</f>
        <v>48001.5</v>
      </c>
      <c r="H22" s="18" t="n">
        <f aca="false">C22-F22</f>
        <v>19766.28</v>
      </c>
      <c r="I22" s="13" t="n">
        <f aca="false">I21-H22</f>
        <v>748620.73</v>
      </c>
      <c r="J22" s="19" t="n">
        <f aca="false">ROUND($B$3/$H$3,2)</f>
        <v>20833.33</v>
      </c>
      <c r="K22" s="19" t="n">
        <f aca="false">K21-J22</f>
        <v>729166.710000001</v>
      </c>
      <c r="L22" s="20" t="n">
        <f aca="false">$H$4-G22</f>
        <v>57505.34</v>
      </c>
      <c r="M22" s="20" t="n">
        <f aca="false">ROUND($H$5-SUM($D$10:D22),2)</f>
        <v>56428.81</v>
      </c>
      <c r="O22" s="21" t="n">
        <f aca="false">B22-B21</f>
        <v>31</v>
      </c>
    </row>
    <row r="23" customFormat="false" ht="15" hidden="false" customHeight="true" outlineLevel="0" collapsed="false">
      <c r="A23" s="3" t="n">
        <v>14</v>
      </c>
      <c r="B23" s="12" t="n">
        <f aca="false">EOMONTH($E$5,14)</f>
        <v>46721</v>
      </c>
      <c r="C23" s="13" t="n">
        <f aca="false">IF(14=$B$5,I22+F23,$E$4)</f>
        <v>23029.29</v>
      </c>
      <c r="D23" s="14" t="n">
        <f aca="false">ROUND(C23*$E$3/100,2)</f>
        <v>1612.05</v>
      </c>
      <c r="E23" s="15" t="n">
        <f aca="false">C23+D23</f>
        <v>24641.34</v>
      </c>
      <c r="F23" s="16" t="n">
        <f aca="false">ROUND(I22*$B$4/100*O23/365,2)</f>
        <v>3076.52</v>
      </c>
      <c r="G23" s="17" t="n">
        <f aca="false">IF(14=1,F23,G22+F23)</f>
        <v>51078.02</v>
      </c>
      <c r="H23" s="18" t="n">
        <f aca="false">C23-F23</f>
        <v>19952.77</v>
      </c>
      <c r="I23" s="13" t="n">
        <f aca="false">I22-H23</f>
        <v>728667.96</v>
      </c>
      <c r="J23" s="19" t="n">
        <f aca="false">ROUND($B$3/$H$3,2)</f>
        <v>20833.33</v>
      </c>
      <c r="K23" s="19" t="n">
        <f aca="false">K22-J23</f>
        <v>708333.380000001</v>
      </c>
      <c r="L23" s="20" t="n">
        <f aca="false">$H$4-G23</f>
        <v>54428.82</v>
      </c>
      <c r="M23" s="20" t="n">
        <f aca="false">ROUND($H$5-SUM($D$10:D23),2)</f>
        <v>54816.76</v>
      </c>
      <c r="O23" s="21" t="n">
        <f aca="false">B23-B22</f>
        <v>30</v>
      </c>
    </row>
    <row r="24" customFormat="false" ht="15" hidden="false" customHeight="true" outlineLevel="0" collapsed="false">
      <c r="A24" s="3" t="n">
        <v>15</v>
      </c>
      <c r="B24" s="12" t="n">
        <f aca="false">EOMONTH($E$5,15)</f>
        <v>46752</v>
      </c>
      <c r="C24" s="13" t="n">
        <f aca="false">IF(15=$B$5,I23+F24,$E$4)</f>
        <v>23029.29</v>
      </c>
      <c r="D24" s="14" t="n">
        <f aca="false">ROUND(C24*$E$3/100,2)</f>
        <v>1612.05</v>
      </c>
      <c r="E24" s="15" t="n">
        <f aca="false">C24+D24</f>
        <v>24641.34</v>
      </c>
      <c r="F24" s="16" t="n">
        <f aca="false">ROUND(I23*$B$4/100*O24/365,2)</f>
        <v>3094.34</v>
      </c>
      <c r="G24" s="17" t="n">
        <f aca="false">IF(15=1,F24,G23+F24)</f>
        <v>54172.36</v>
      </c>
      <c r="H24" s="18" t="n">
        <f aca="false">C24-F24</f>
        <v>19934.95</v>
      </c>
      <c r="I24" s="13" t="n">
        <f aca="false">I23-H24</f>
        <v>708733.01</v>
      </c>
      <c r="J24" s="19" t="n">
        <f aca="false">ROUND($B$3/$H$3,2)</f>
        <v>20833.33</v>
      </c>
      <c r="K24" s="19" t="n">
        <f aca="false">K23-J24</f>
        <v>687500.050000001</v>
      </c>
      <c r="L24" s="20" t="n">
        <f aca="false">$H$4-G24</f>
        <v>51334.48</v>
      </c>
      <c r="M24" s="20" t="n">
        <f aca="false">ROUND($H$5-SUM($D$10:D24),2)</f>
        <v>53204.71</v>
      </c>
      <c r="O24" s="21" t="n">
        <f aca="false">B24-B23</f>
        <v>31</v>
      </c>
    </row>
    <row r="25" customFormat="false" ht="15" hidden="false" customHeight="true" outlineLevel="0" collapsed="false">
      <c r="A25" s="3" t="n">
        <v>16</v>
      </c>
      <c r="B25" s="12" t="n">
        <f aca="false">EOMONTH($E$5,16)</f>
        <v>46783</v>
      </c>
      <c r="C25" s="13" t="n">
        <f aca="false">IF(16=$B$5,I24+F25,$E$4)</f>
        <v>23029.29</v>
      </c>
      <c r="D25" s="14" t="n">
        <f aca="false">ROUND(C25*$E$3/100,2)</f>
        <v>1612.05</v>
      </c>
      <c r="E25" s="15" t="n">
        <f aca="false">C25+D25</f>
        <v>24641.34</v>
      </c>
      <c r="F25" s="16" t="n">
        <f aca="false">ROUND(I24*$B$4/100*O25/365,2)</f>
        <v>3009.69</v>
      </c>
      <c r="G25" s="17" t="n">
        <f aca="false">IF(16=1,F25,G24+F25)</f>
        <v>57182.05</v>
      </c>
      <c r="H25" s="18" t="n">
        <f aca="false">C25-F25</f>
        <v>20019.6</v>
      </c>
      <c r="I25" s="13" t="n">
        <f aca="false">I24-H25</f>
        <v>688713.41</v>
      </c>
      <c r="J25" s="19" t="n">
        <f aca="false">ROUND($B$3/$H$3,2)</f>
        <v>20833.33</v>
      </c>
      <c r="K25" s="19" t="n">
        <f aca="false">K24-J25</f>
        <v>666666.720000001</v>
      </c>
      <c r="L25" s="20" t="n">
        <f aca="false">$H$4-G25</f>
        <v>48324.79</v>
      </c>
      <c r="M25" s="20" t="n">
        <f aca="false">ROUND($H$5-SUM($D$10:D25),2)</f>
        <v>51592.66</v>
      </c>
      <c r="O25" s="21" t="n">
        <f aca="false">B25-B24</f>
        <v>31</v>
      </c>
    </row>
    <row r="26" customFormat="false" ht="15" hidden="false" customHeight="true" outlineLevel="0" collapsed="false">
      <c r="A26" s="3" t="n">
        <v>17</v>
      </c>
      <c r="B26" s="12" t="n">
        <f aca="false">EOMONTH($E$5,17)</f>
        <v>46812</v>
      </c>
      <c r="C26" s="13" t="n">
        <f aca="false">IF(17=$B$5,I25+F26,$E$4)</f>
        <v>23029.29</v>
      </c>
      <c r="D26" s="14" t="n">
        <f aca="false">ROUND(C26*$E$3/100,2)</f>
        <v>1612.05</v>
      </c>
      <c r="E26" s="15" t="n">
        <f aca="false">C26+D26</f>
        <v>24641.34</v>
      </c>
      <c r="F26" s="16" t="n">
        <f aca="false">ROUND(I25*$B$4/100*O26/365,2)</f>
        <v>2735.98</v>
      </c>
      <c r="G26" s="17" t="n">
        <f aca="false">IF(17=1,F26,G25+F26)</f>
        <v>59918.03</v>
      </c>
      <c r="H26" s="18" t="n">
        <f aca="false">C26-F26</f>
        <v>20293.31</v>
      </c>
      <c r="I26" s="13" t="n">
        <f aca="false">I25-H26</f>
        <v>668420.1</v>
      </c>
      <c r="J26" s="19" t="n">
        <f aca="false">ROUND($B$3/$H$3,2)</f>
        <v>20833.33</v>
      </c>
      <c r="K26" s="19" t="n">
        <f aca="false">K25-J26</f>
        <v>645833.390000001</v>
      </c>
      <c r="L26" s="20" t="n">
        <f aca="false">$H$4-G26</f>
        <v>45588.81</v>
      </c>
      <c r="M26" s="20" t="n">
        <f aca="false">ROUND($H$5-SUM($D$10:D26),2)</f>
        <v>49980.61</v>
      </c>
      <c r="O26" s="21" t="n">
        <f aca="false">B26-B25</f>
        <v>29</v>
      </c>
    </row>
    <row r="27" customFormat="false" ht="15" hidden="false" customHeight="true" outlineLevel="0" collapsed="false">
      <c r="A27" s="3" t="n">
        <v>18</v>
      </c>
      <c r="B27" s="12" t="n">
        <f aca="false">EOMONTH($E$5,18)</f>
        <v>46843</v>
      </c>
      <c r="C27" s="13" t="n">
        <f aca="false">IF(18=$B$5,I26+F27,$E$4)</f>
        <v>23029.29</v>
      </c>
      <c r="D27" s="14" t="n">
        <f aca="false">ROUND(C27*$E$3/100,2)</f>
        <v>1612.05</v>
      </c>
      <c r="E27" s="15" t="n">
        <f aca="false">C27+D27</f>
        <v>24641.34</v>
      </c>
      <c r="F27" s="16" t="n">
        <f aca="false">ROUND(I26*$B$4/100*O27/365,2)</f>
        <v>2838.5</v>
      </c>
      <c r="G27" s="17" t="n">
        <f aca="false">IF(18=1,F27,G26+F27)</f>
        <v>62756.53</v>
      </c>
      <c r="H27" s="18" t="n">
        <f aca="false">C27-F27</f>
        <v>20190.79</v>
      </c>
      <c r="I27" s="13" t="n">
        <f aca="false">I26-H27</f>
        <v>648229.31</v>
      </c>
      <c r="J27" s="19" t="n">
        <f aca="false">ROUND($B$3/$H$3,2)</f>
        <v>20833.33</v>
      </c>
      <c r="K27" s="19" t="n">
        <f aca="false">K26-J27</f>
        <v>625000.060000001</v>
      </c>
      <c r="L27" s="20" t="n">
        <f aca="false">$H$4-G27</f>
        <v>42750.31</v>
      </c>
      <c r="M27" s="20" t="n">
        <f aca="false">ROUND($H$5-SUM($D$10:D27),2)</f>
        <v>48368.56</v>
      </c>
      <c r="O27" s="21" t="n">
        <f aca="false">B27-B26</f>
        <v>31</v>
      </c>
    </row>
    <row r="28" customFormat="false" ht="15" hidden="false" customHeight="true" outlineLevel="0" collapsed="false">
      <c r="A28" s="3" t="n">
        <v>19</v>
      </c>
      <c r="B28" s="12" t="n">
        <f aca="false">EOMONTH($E$5,19)</f>
        <v>46873</v>
      </c>
      <c r="C28" s="13" t="n">
        <f aca="false">IF(19=$B$5,I27+F28,$E$4)</f>
        <v>23029.29</v>
      </c>
      <c r="D28" s="14" t="n">
        <f aca="false">ROUND(C28*$E$3/100,2)</f>
        <v>1612.05</v>
      </c>
      <c r="E28" s="15" t="n">
        <f aca="false">C28+D28</f>
        <v>24641.34</v>
      </c>
      <c r="F28" s="16" t="n">
        <f aca="false">ROUND(I27*$B$4/100*O28/365,2)</f>
        <v>2663.96</v>
      </c>
      <c r="G28" s="17" t="n">
        <f aca="false">IF(19=1,F28,G27+F28)</f>
        <v>65420.49</v>
      </c>
      <c r="H28" s="18" t="n">
        <f aca="false">C28-F28</f>
        <v>20365.33</v>
      </c>
      <c r="I28" s="13" t="n">
        <f aca="false">I27-H28</f>
        <v>627863.98</v>
      </c>
      <c r="J28" s="19" t="n">
        <f aca="false">ROUND($B$3/$H$3,2)</f>
        <v>20833.33</v>
      </c>
      <c r="K28" s="19" t="n">
        <f aca="false">K27-J28</f>
        <v>604166.730000001</v>
      </c>
      <c r="L28" s="20" t="n">
        <f aca="false">$H$4-G28</f>
        <v>40086.35</v>
      </c>
      <c r="M28" s="20" t="n">
        <f aca="false">ROUND($H$5-SUM($D$10:D28),2)</f>
        <v>46756.51</v>
      </c>
      <c r="O28" s="21" t="n">
        <f aca="false">B28-B27</f>
        <v>30</v>
      </c>
    </row>
    <row r="29" customFormat="false" ht="15" hidden="false" customHeight="true" outlineLevel="0" collapsed="false">
      <c r="A29" s="3" t="n">
        <v>20</v>
      </c>
      <c r="B29" s="12" t="n">
        <f aca="false">EOMONTH($E$5,20)</f>
        <v>46904</v>
      </c>
      <c r="C29" s="13" t="n">
        <f aca="false">IF(20=$B$5,I28+F29,$E$4)</f>
        <v>23029.29</v>
      </c>
      <c r="D29" s="14" t="n">
        <f aca="false">ROUND(C29*$E$3/100,2)</f>
        <v>1612.05</v>
      </c>
      <c r="E29" s="15" t="n">
        <f aca="false">C29+D29</f>
        <v>24641.34</v>
      </c>
      <c r="F29" s="16" t="n">
        <f aca="false">ROUND(I28*$B$4/100*O29/365,2)</f>
        <v>2666.27</v>
      </c>
      <c r="G29" s="17" t="n">
        <f aca="false">IF(20=1,F29,G28+F29)</f>
        <v>68086.76</v>
      </c>
      <c r="H29" s="18" t="n">
        <f aca="false">C29-F29</f>
        <v>20363.02</v>
      </c>
      <c r="I29" s="13" t="n">
        <f aca="false">I28-H29</f>
        <v>607500.96</v>
      </c>
      <c r="J29" s="19" t="n">
        <f aca="false">ROUND($B$3/$H$3,2)</f>
        <v>20833.33</v>
      </c>
      <c r="K29" s="19" t="n">
        <f aca="false">K28-J29</f>
        <v>583333.400000001</v>
      </c>
      <c r="L29" s="20" t="n">
        <f aca="false">$H$4-G29</f>
        <v>37420.08</v>
      </c>
      <c r="M29" s="20" t="n">
        <f aca="false">ROUND($H$5-SUM($D$10:D29),2)</f>
        <v>45144.46</v>
      </c>
      <c r="O29" s="21" t="n">
        <f aca="false">B29-B28</f>
        <v>31</v>
      </c>
    </row>
    <row r="30" customFormat="false" ht="15" hidden="false" customHeight="true" outlineLevel="0" collapsed="false">
      <c r="A30" s="3" t="n">
        <v>21</v>
      </c>
      <c r="B30" s="12" t="n">
        <f aca="false">EOMONTH($E$5,21)</f>
        <v>46934</v>
      </c>
      <c r="C30" s="13" t="n">
        <f aca="false">IF(21=$B$5,I29+F30,$E$4)</f>
        <v>23029.29</v>
      </c>
      <c r="D30" s="14" t="n">
        <f aca="false">ROUND(C30*$E$3/100,2)</f>
        <v>1612.05</v>
      </c>
      <c r="E30" s="15" t="n">
        <f aca="false">C30+D30</f>
        <v>24641.34</v>
      </c>
      <c r="F30" s="16" t="n">
        <f aca="false">ROUND(I29*$B$4/100*O30/365,2)</f>
        <v>2496.58</v>
      </c>
      <c r="G30" s="17" t="n">
        <f aca="false">IF(21=1,F30,G29+F30)</f>
        <v>70583.34</v>
      </c>
      <c r="H30" s="18" t="n">
        <f aca="false">C30-F30</f>
        <v>20532.71</v>
      </c>
      <c r="I30" s="13" t="n">
        <f aca="false">I29-H30</f>
        <v>586968.25</v>
      </c>
      <c r="J30" s="19" t="n">
        <f aca="false">ROUND($B$3/$H$3,2)</f>
        <v>20833.33</v>
      </c>
      <c r="K30" s="19" t="n">
        <f aca="false">K29-J30</f>
        <v>562500.070000001</v>
      </c>
      <c r="L30" s="20" t="n">
        <f aca="false">$H$4-G30</f>
        <v>34923.5</v>
      </c>
      <c r="M30" s="20" t="n">
        <f aca="false">ROUND($H$5-SUM($D$10:D30),2)</f>
        <v>43532.41</v>
      </c>
      <c r="O30" s="21" t="n">
        <f aca="false">B30-B29</f>
        <v>30</v>
      </c>
    </row>
    <row r="31" customFormat="false" ht="15" hidden="false" customHeight="true" outlineLevel="0" collapsed="false">
      <c r="A31" s="3" t="n">
        <v>22</v>
      </c>
      <c r="B31" s="12" t="n">
        <f aca="false">EOMONTH($E$5,22)</f>
        <v>46965</v>
      </c>
      <c r="C31" s="13" t="n">
        <f aca="false">IF(22=$B$5,I30+F31,$E$4)</f>
        <v>23029.29</v>
      </c>
      <c r="D31" s="14" t="n">
        <f aca="false">ROUND(C31*$E$3/100,2)</f>
        <v>1612.05</v>
      </c>
      <c r="E31" s="15" t="n">
        <f aca="false">C31+D31</f>
        <v>24641.34</v>
      </c>
      <c r="F31" s="16" t="n">
        <f aca="false">ROUND(I30*$B$4/100*O31/365,2)</f>
        <v>2492.6</v>
      </c>
      <c r="G31" s="17" t="n">
        <f aca="false">IF(22=1,F31,G30+F31)</f>
        <v>73075.94</v>
      </c>
      <c r="H31" s="18" t="n">
        <f aca="false">C31-F31</f>
        <v>20536.69</v>
      </c>
      <c r="I31" s="13" t="n">
        <f aca="false">I30-H31</f>
        <v>566431.56</v>
      </c>
      <c r="J31" s="19" t="n">
        <f aca="false">ROUND($B$3/$H$3,2)</f>
        <v>20833.33</v>
      </c>
      <c r="K31" s="19" t="n">
        <f aca="false">K30-J31</f>
        <v>541666.740000001</v>
      </c>
      <c r="L31" s="20" t="n">
        <f aca="false">$H$4-G31</f>
        <v>32430.9</v>
      </c>
      <c r="M31" s="20" t="n">
        <f aca="false">ROUND($H$5-SUM($D$10:D31),2)</f>
        <v>41920.36</v>
      </c>
      <c r="O31" s="21" t="n">
        <f aca="false">B31-B30</f>
        <v>31</v>
      </c>
    </row>
    <row r="32" customFormat="false" ht="15" hidden="false" customHeight="true" outlineLevel="0" collapsed="false">
      <c r="A32" s="3" t="n">
        <v>23</v>
      </c>
      <c r="B32" s="12" t="n">
        <f aca="false">EOMONTH($E$5,23)</f>
        <v>46996</v>
      </c>
      <c r="C32" s="13" t="n">
        <f aca="false">IF(23=$B$5,I31+F32,$E$4)</f>
        <v>23029.29</v>
      </c>
      <c r="D32" s="14" t="n">
        <f aca="false">ROUND(C32*$E$3/100,2)</f>
        <v>1612.05</v>
      </c>
      <c r="E32" s="15" t="n">
        <f aca="false">C32+D32</f>
        <v>24641.34</v>
      </c>
      <c r="F32" s="16" t="n">
        <f aca="false">ROUND(I31*$B$4/100*O32/365,2)</f>
        <v>2405.39</v>
      </c>
      <c r="G32" s="17" t="n">
        <f aca="false">IF(23=1,F32,G31+F32)</f>
        <v>75481.33</v>
      </c>
      <c r="H32" s="18" t="n">
        <f aca="false">C32-F32</f>
        <v>20623.9</v>
      </c>
      <c r="I32" s="13" t="n">
        <f aca="false">I31-H32</f>
        <v>545807.66</v>
      </c>
      <c r="J32" s="19" t="n">
        <f aca="false">ROUND($B$3/$H$3,2)</f>
        <v>20833.33</v>
      </c>
      <c r="K32" s="19" t="n">
        <f aca="false">K31-J32</f>
        <v>520833.410000001</v>
      </c>
      <c r="L32" s="20" t="n">
        <f aca="false">$H$4-G32</f>
        <v>30025.51</v>
      </c>
      <c r="M32" s="20" t="n">
        <f aca="false">ROUND($H$5-SUM($D$10:D32),2)</f>
        <v>40308.31</v>
      </c>
      <c r="O32" s="21" t="n">
        <f aca="false">B32-B31</f>
        <v>31</v>
      </c>
    </row>
    <row r="33" customFormat="false" ht="15" hidden="false" customHeight="true" outlineLevel="0" collapsed="false">
      <c r="A33" s="3" t="n">
        <v>24</v>
      </c>
      <c r="B33" s="12" t="n">
        <f aca="false">EOMONTH($E$5,24)</f>
        <v>47026</v>
      </c>
      <c r="C33" s="13" t="n">
        <f aca="false">IF(24=$B$5,I32+F33,$E$4)</f>
        <v>23029.29</v>
      </c>
      <c r="D33" s="14" t="n">
        <f aca="false">ROUND(C33*$E$3/100,2)</f>
        <v>1612.05</v>
      </c>
      <c r="E33" s="15" t="n">
        <f aca="false">C33+D33</f>
        <v>24641.34</v>
      </c>
      <c r="F33" s="16" t="n">
        <f aca="false">ROUND(I32*$B$4/100*O33/365,2)</f>
        <v>2243.05</v>
      </c>
      <c r="G33" s="17" t="n">
        <f aca="false">IF(24=1,F33,G32+F33)</f>
        <v>77724.38</v>
      </c>
      <c r="H33" s="18" t="n">
        <f aca="false">C33-F33</f>
        <v>20786.24</v>
      </c>
      <c r="I33" s="13" t="n">
        <f aca="false">I32-H33</f>
        <v>525021.42</v>
      </c>
      <c r="J33" s="19" t="n">
        <f aca="false">ROUND($B$3/$H$3,2)</f>
        <v>20833.33</v>
      </c>
      <c r="K33" s="19" t="n">
        <f aca="false">K32-J33</f>
        <v>500000.080000001</v>
      </c>
      <c r="L33" s="20" t="n">
        <f aca="false">$H$4-G33</f>
        <v>27782.46</v>
      </c>
      <c r="M33" s="20" t="n">
        <f aca="false">ROUND($H$5-SUM($D$10:D33),2)</f>
        <v>38696.26</v>
      </c>
      <c r="O33" s="21" t="n">
        <f aca="false">B33-B32</f>
        <v>30</v>
      </c>
    </row>
    <row r="34" customFormat="false" ht="15" hidden="false" customHeight="true" outlineLevel="0" collapsed="false">
      <c r="A34" s="3" t="n">
        <v>25</v>
      </c>
      <c r="B34" s="12" t="n">
        <f aca="false">EOMONTH($E$5,25)</f>
        <v>47057</v>
      </c>
      <c r="C34" s="13" t="n">
        <f aca="false">IF(25=$B$5,I33+F34,$E$4)</f>
        <v>23029.29</v>
      </c>
      <c r="D34" s="14" t="n">
        <f aca="false">ROUND(C34*$E$3/100,2)</f>
        <v>1612.05</v>
      </c>
      <c r="E34" s="15" t="n">
        <f aca="false">C34+D34</f>
        <v>24641.34</v>
      </c>
      <c r="F34" s="16" t="n">
        <f aca="false">ROUND(I33*$B$4/100*O34/365,2)</f>
        <v>2229.54</v>
      </c>
      <c r="G34" s="17" t="n">
        <f aca="false">IF(25=1,F34,G33+F34)</f>
        <v>79953.92</v>
      </c>
      <c r="H34" s="18" t="n">
        <f aca="false">C34-F34</f>
        <v>20799.75</v>
      </c>
      <c r="I34" s="13" t="n">
        <f aca="false">I33-H34</f>
        <v>504221.67</v>
      </c>
      <c r="J34" s="19" t="n">
        <f aca="false">ROUND($B$3/$H$3,2)</f>
        <v>20833.33</v>
      </c>
      <c r="K34" s="19" t="n">
        <f aca="false">K33-J34</f>
        <v>479166.750000001</v>
      </c>
      <c r="L34" s="20" t="n">
        <f aca="false">$H$4-G34</f>
        <v>25552.92</v>
      </c>
      <c r="M34" s="20" t="n">
        <f aca="false">ROUND($H$5-SUM($D$10:D34),2)</f>
        <v>37084.21</v>
      </c>
      <c r="O34" s="21" t="n">
        <f aca="false">B34-B33</f>
        <v>31</v>
      </c>
    </row>
    <row r="35" customFormat="false" ht="15" hidden="false" customHeight="true" outlineLevel="0" collapsed="false">
      <c r="A35" s="3" t="n">
        <v>26</v>
      </c>
      <c r="B35" s="12" t="n">
        <f aca="false">EOMONTH($E$5,26)</f>
        <v>47087</v>
      </c>
      <c r="C35" s="13" t="n">
        <f aca="false">IF(26=$B$5,I34+F35,$E$4)</f>
        <v>23029.29</v>
      </c>
      <c r="D35" s="14" t="n">
        <f aca="false">ROUND(C35*$E$3/100,2)</f>
        <v>1612.05</v>
      </c>
      <c r="E35" s="15" t="n">
        <f aca="false">C35+D35</f>
        <v>24641.34</v>
      </c>
      <c r="F35" s="16" t="n">
        <f aca="false">ROUND(I34*$B$4/100*O35/365,2)</f>
        <v>2072.14</v>
      </c>
      <c r="G35" s="17" t="n">
        <f aca="false">IF(26=1,F35,G34+F35)</f>
        <v>82026.06</v>
      </c>
      <c r="H35" s="18" t="n">
        <f aca="false">C35-F35</f>
        <v>20957.15</v>
      </c>
      <c r="I35" s="13" t="n">
        <f aca="false">I34-H35</f>
        <v>483264.52</v>
      </c>
      <c r="J35" s="19" t="n">
        <f aca="false">ROUND($B$3/$H$3,2)</f>
        <v>20833.33</v>
      </c>
      <c r="K35" s="19" t="n">
        <f aca="false">K34-J35</f>
        <v>458333.420000001</v>
      </c>
      <c r="L35" s="20" t="n">
        <f aca="false">$H$4-G35</f>
        <v>23480.78</v>
      </c>
      <c r="M35" s="20" t="n">
        <f aca="false">ROUND($H$5-SUM($D$10:D35),2)</f>
        <v>35472.16</v>
      </c>
      <c r="O35" s="21" t="n">
        <f aca="false">B35-B34</f>
        <v>30</v>
      </c>
    </row>
    <row r="36" customFormat="false" ht="15" hidden="false" customHeight="true" outlineLevel="0" collapsed="false">
      <c r="A36" s="3" t="n">
        <v>27</v>
      </c>
      <c r="B36" s="12" t="n">
        <f aca="false">EOMONTH($E$5,27)</f>
        <v>47118</v>
      </c>
      <c r="C36" s="13" t="n">
        <f aca="false">IF(27=$B$5,I35+F36,$E$4)</f>
        <v>23029.29</v>
      </c>
      <c r="D36" s="14" t="n">
        <f aca="false">ROUND(C36*$E$3/100,2)</f>
        <v>1612.05</v>
      </c>
      <c r="E36" s="15" t="n">
        <f aca="false">C36+D36</f>
        <v>24641.34</v>
      </c>
      <c r="F36" s="16" t="n">
        <f aca="false">ROUND(I35*$B$4/100*O36/365,2)</f>
        <v>2052.22</v>
      </c>
      <c r="G36" s="17" t="n">
        <f aca="false">IF(27=1,F36,G35+F36)</f>
        <v>84078.28</v>
      </c>
      <c r="H36" s="18" t="n">
        <f aca="false">C36-F36</f>
        <v>20977.07</v>
      </c>
      <c r="I36" s="13" t="n">
        <f aca="false">I35-H36</f>
        <v>462287.45</v>
      </c>
      <c r="J36" s="19" t="n">
        <f aca="false">ROUND($B$3/$H$3,2)</f>
        <v>20833.33</v>
      </c>
      <c r="K36" s="19" t="n">
        <f aca="false">K35-J36</f>
        <v>437500.090000001</v>
      </c>
      <c r="L36" s="20" t="n">
        <f aca="false">$H$4-G36</f>
        <v>21428.56</v>
      </c>
      <c r="M36" s="20" t="n">
        <f aca="false">ROUND($H$5-SUM($D$10:D36),2)</f>
        <v>33860.11</v>
      </c>
      <c r="O36" s="21" t="n">
        <f aca="false">B36-B35</f>
        <v>31</v>
      </c>
    </row>
    <row r="37" customFormat="false" ht="15" hidden="false" customHeight="true" outlineLevel="0" collapsed="false">
      <c r="A37" s="3" t="n">
        <v>28</v>
      </c>
      <c r="B37" s="12" t="n">
        <f aca="false">EOMONTH($E$5,28)</f>
        <v>47149</v>
      </c>
      <c r="C37" s="13" t="n">
        <f aca="false">IF(28=$B$5,I36+F37,$E$4)</f>
        <v>23029.29</v>
      </c>
      <c r="D37" s="14" t="n">
        <f aca="false">ROUND(C37*$E$3/100,2)</f>
        <v>1612.05</v>
      </c>
      <c r="E37" s="15" t="n">
        <f aca="false">C37+D37</f>
        <v>24641.34</v>
      </c>
      <c r="F37" s="16" t="n">
        <f aca="false">ROUND(I36*$B$4/100*O37/365,2)</f>
        <v>1963.14</v>
      </c>
      <c r="G37" s="17" t="n">
        <f aca="false">IF(28=1,F37,G36+F37)</f>
        <v>86041.42</v>
      </c>
      <c r="H37" s="18" t="n">
        <f aca="false">C37-F37</f>
        <v>21066.15</v>
      </c>
      <c r="I37" s="13" t="n">
        <f aca="false">I36-H37</f>
        <v>441221.3</v>
      </c>
      <c r="J37" s="19" t="n">
        <f aca="false">ROUND($B$3/$H$3,2)</f>
        <v>20833.33</v>
      </c>
      <c r="K37" s="19" t="n">
        <f aca="false">K36-J37</f>
        <v>416666.760000001</v>
      </c>
      <c r="L37" s="20" t="n">
        <f aca="false">$H$4-G37</f>
        <v>19465.42</v>
      </c>
      <c r="M37" s="20" t="n">
        <f aca="false">ROUND($H$5-SUM($D$10:D37),2)</f>
        <v>32248.06</v>
      </c>
      <c r="O37" s="21" t="n">
        <f aca="false">B37-B36</f>
        <v>31</v>
      </c>
    </row>
    <row r="38" customFormat="false" ht="15" hidden="false" customHeight="true" outlineLevel="0" collapsed="false">
      <c r="A38" s="3" t="n">
        <v>29</v>
      </c>
      <c r="B38" s="12" t="n">
        <f aca="false">EOMONTH($E$5,29)</f>
        <v>47177</v>
      </c>
      <c r="C38" s="13" t="n">
        <f aca="false">IF(29=$B$5,I37+F38,$E$4)</f>
        <v>23029.29</v>
      </c>
      <c r="D38" s="14" t="n">
        <f aca="false">ROUND(C38*$E$3/100,2)</f>
        <v>1612.05</v>
      </c>
      <c r="E38" s="15" t="n">
        <f aca="false">C38+D38</f>
        <v>24641.34</v>
      </c>
      <c r="F38" s="16" t="n">
        <f aca="false">ROUND(I37*$B$4/100*O38/365,2)</f>
        <v>1692.36</v>
      </c>
      <c r="G38" s="17" t="n">
        <f aca="false">IF(29=1,F38,G37+F38)</f>
        <v>87733.78</v>
      </c>
      <c r="H38" s="18" t="n">
        <f aca="false">C38-F38</f>
        <v>21336.93</v>
      </c>
      <c r="I38" s="13" t="n">
        <f aca="false">I37-H38</f>
        <v>419884.37</v>
      </c>
      <c r="J38" s="19" t="n">
        <f aca="false">ROUND($B$3/$H$3,2)</f>
        <v>20833.33</v>
      </c>
      <c r="K38" s="19" t="n">
        <f aca="false">K37-J38</f>
        <v>395833.430000001</v>
      </c>
      <c r="L38" s="20" t="n">
        <f aca="false">$H$4-G38</f>
        <v>17773.06</v>
      </c>
      <c r="M38" s="20" t="n">
        <f aca="false">ROUND($H$5-SUM($D$10:D38),2)</f>
        <v>30636.01</v>
      </c>
      <c r="O38" s="21" t="n">
        <f aca="false">B38-B37</f>
        <v>28</v>
      </c>
    </row>
    <row r="39" customFormat="false" ht="15" hidden="false" customHeight="true" outlineLevel="0" collapsed="false">
      <c r="A39" s="3" t="n">
        <v>30</v>
      </c>
      <c r="B39" s="12" t="n">
        <f aca="false">EOMONTH($E$5,30)</f>
        <v>47208</v>
      </c>
      <c r="C39" s="13" t="n">
        <f aca="false">IF(30=$B$5,I38+F39,$E$4)</f>
        <v>23029.29</v>
      </c>
      <c r="D39" s="14" t="n">
        <f aca="false">ROUND(C39*$E$3/100,2)</f>
        <v>1612.05</v>
      </c>
      <c r="E39" s="15" t="n">
        <f aca="false">C39+D39</f>
        <v>24641.34</v>
      </c>
      <c r="F39" s="16" t="n">
        <f aca="false">ROUND(I38*$B$4/100*O39/365,2)</f>
        <v>1783.07</v>
      </c>
      <c r="G39" s="17" t="n">
        <f aca="false">IF(30=1,F39,G38+F39)</f>
        <v>89516.85</v>
      </c>
      <c r="H39" s="18" t="n">
        <f aca="false">C39-F39</f>
        <v>21246.22</v>
      </c>
      <c r="I39" s="13" t="n">
        <f aca="false">I38-H39</f>
        <v>398638.15</v>
      </c>
      <c r="J39" s="19" t="n">
        <f aca="false">ROUND($B$3/$H$3,2)</f>
        <v>20833.33</v>
      </c>
      <c r="K39" s="19" t="n">
        <f aca="false">K38-J39</f>
        <v>375000.100000001</v>
      </c>
      <c r="L39" s="20" t="n">
        <f aca="false">$H$4-G39</f>
        <v>15989.99</v>
      </c>
      <c r="M39" s="20" t="n">
        <f aca="false">ROUND($H$5-SUM($D$10:D39),2)</f>
        <v>29023.96</v>
      </c>
      <c r="O39" s="21" t="n">
        <f aca="false">B39-B38</f>
        <v>31</v>
      </c>
    </row>
    <row r="40" customFormat="false" ht="15" hidden="false" customHeight="true" outlineLevel="0" collapsed="false">
      <c r="A40" s="3" t="n">
        <v>31</v>
      </c>
      <c r="B40" s="12" t="n">
        <f aca="false">EOMONTH($E$5,31)</f>
        <v>47238</v>
      </c>
      <c r="C40" s="13" t="n">
        <f aca="false">IF(31=$B$5,I39+F40,$E$4)</f>
        <v>23029.29</v>
      </c>
      <c r="D40" s="14" t="n">
        <f aca="false">ROUND(C40*$E$3/100,2)</f>
        <v>1612.05</v>
      </c>
      <c r="E40" s="15" t="n">
        <f aca="false">C40+D40</f>
        <v>24641.34</v>
      </c>
      <c r="F40" s="16" t="n">
        <f aca="false">ROUND(I39*$B$4/100*O40/365,2)</f>
        <v>1638.24</v>
      </c>
      <c r="G40" s="17" t="n">
        <f aca="false">IF(31=1,F40,G39+F40)</f>
        <v>91155.09</v>
      </c>
      <c r="H40" s="18" t="n">
        <f aca="false">C40-F40</f>
        <v>21391.05</v>
      </c>
      <c r="I40" s="13" t="n">
        <f aca="false">I39-H40</f>
        <v>377247.1</v>
      </c>
      <c r="J40" s="19" t="n">
        <f aca="false">ROUND($B$3/$H$3,2)</f>
        <v>20833.33</v>
      </c>
      <c r="K40" s="19" t="n">
        <f aca="false">K39-J40</f>
        <v>354166.770000001</v>
      </c>
      <c r="L40" s="20" t="n">
        <f aca="false">$H$4-G40</f>
        <v>14351.75</v>
      </c>
      <c r="M40" s="20" t="n">
        <f aca="false">ROUND($H$5-SUM($D$10:D40),2)</f>
        <v>27411.91</v>
      </c>
      <c r="O40" s="21" t="n">
        <f aca="false">B40-B39</f>
        <v>30</v>
      </c>
    </row>
    <row r="41" customFormat="false" ht="15" hidden="false" customHeight="true" outlineLevel="0" collapsed="false">
      <c r="A41" s="3" t="n">
        <v>32</v>
      </c>
      <c r="B41" s="12" t="n">
        <f aca="false">EOMONTH($E$5,32)</f>
        <v>47269</v>
      </c>
      <c r="C41" s="13" t="n">
        <f aca="false">IF(32=$B$5,I40+F41,$E$4)</f>
        <v>23029.29</v>
      </c>
      <c r="D41" s="14" t="n">
        <f aca="false">ROUND(C41*$E$3/100,2)</f>
        <v>1612.05</v>
      </c>
      <c r="E41" s="15" t="n">
        <f aca="false">C41+D41</f>
        <v>24641.34</v>
      </c>
      <c r="F41" s="16" t="n">
        <f aca="false">ROUND(I40*$B$4/100*O41/365,2)</f>
        <v>1602.01</v>
      </c>
      <c r="G41" s="17" t="n">
        <f aca="false">IF(32=1,F41,G40+F41)</f>
        <v>92757.1</v>
      </c>
      <c r="H41" s="18" t="n">
        <f aca="false">C41-F41</f>
        <v>21427.28</v>
      </c>
      <c r="I41" s="13" t="n">
        <f aca="false">I40-H41</f>
        <v>355819.82</v>
      </c>
      <c r="J41" s="19" t="n">
        <f aca="false">ROUND($B$3/$H$3,2)</f>
        <v>20833.33</v>
      </c>
      <c r="K41" s="19" t="n">
        <f aca="false">K40-J41</f>
        <v>333333.440000001</v>
      </c>
      <c r="L41" s="20" t="n">
        <f aca="false">$H$4-G41</f>
        <v>12749.74</v>
      </c>
      <c r="M41" s="20" t="n">
        <f aca="false">ROUND($H$5-SUM($D$10:D41),2)</f>
        <v>25799.86</v>
      </c>
      <c r="O41" s="21" t="n">
        <f aca="false">B41-B40</f>
        <v>31</v>
      </c>
    </row>
    <row r="42" customFormat="false" ht="15" hidden="false" customHeight="true" outlineLevel="0" collapsed="false">
      <c r="A42" s="3" t="n">
        <v>33</v>
      </c>
      <c r="B42" s="12" t="n">
        <f aca="false">EOMONTH($E$5,33)</f>
        <v>47299</v>
      </c>
      <c r="C42" s="13" t="n">
        <f aca="false">IF(33=$B$5,I41+F42,$E$4)</f>
        <v>23029.29</v>
      </c>
      <c r="D42" s="14" t="n">
        <f aca="false">ROUND(C42*$E$3/100,2)</f>
        <v>1612.05</v>
      </c>
      <c r="E42" s="15" t="n">
        <f aca="false">C42+D42</f>
        <v>24641.34</v>
      </c>
      <c r="F42" s="16" t="n">
        <f aca="false">ROUND(I41*$B$4/100*O42/365,2)</f>
        <v>1462.27</v>
      </c>
      <c r="G42" s="17" t="n">
        <f aca="false">IF(33=1,F42,G41+F42)</f>
        <v>94219.37</v>
      </c>
      <c r="H42" s="18" t="n">
        <f aca="false">C42-F42</f>
        <v>21567.02</v>
      </c>
      <c r="I42" s="13" t="n">
        <f aca="false">I41-H42</f>
        <v>334252.8</v>
      </c>
      <c r="J42" s="19" t="n">
        <f aca="false">ROUND($B$3/$H$3,2)</f>
        <v>20833.33</v>
      </c>
      <c r="K42" s="19" t="n">
        <f aca="false">K41-J42</f>
        <v>312500.110000001</v>
      </c>
      <c r="L42" s="20" t="n">
        <f aca="false">$H$4-G42</f>
        <v>11287.47</v>
      </c>
      <c r="M42" s="20" t="n">
        <f aca="false">ROUND($H$5-SUM($D$10:D42),2)</f>
        <v>24187.81</v>
      </c>
      <c r="O42" s="21" t="n">
        <f aca="false">B42-B41</f>
        <v>30</v>
      </c>
    </row>
    <row r="43" customFormat="false" ht="15" hidden="false" customHeight="true" outlineLevel="0" collapsed="false">
      <c r="A43" s="3" t="n">
        <v>34</v>
      </c>
      <c r="B43" s="12" t="n">
        <f aca="false">EOMONTH($E$5,34)</f>
        <v>47330</v>
      </c>
      <c r="C43" s="13" t="n">
        <f aca="false">IF(34=$B$5,I42+F43,$E$4)</f>
        <v>23029.29</v>
      </c>
      <c r="D43" s="14" t="n">
        <f aca="false">ROUND(C43*$E$3/100,2)</f>
        <v>1612.05</v>
      </c>
      <c r="E43" s="15" t="n">
        <f aca="false">C43+D43</f>
        <v>24641.34</v>
      </c>
      <c r="F43" s="16" t="n">
        <f aca="false">ROUND(I42*$B$4/100*O43/365,2)</f>
        <v>1419.43</v>
      </c>
      <c r="G43" s="17" t="n">
        <f aca="false">IF(34=1,F43,G42+F43)</f>
        <v>95638.8</v>
      </c>
      <c r="H43" s="18" t="n">
        <f aca="false">C43-F43</f>
        <v>21609.86</v>
      </c>
      <c r="I43" s="13" t="n">
        <f aca="false">I42-H43</f>
        <v>312642.94</v>
      </c>
      <c r="J43" s="19" t="n">
        <f aca="false">ROUND($B$3/$H$3,2)</f>
        <v>20833.33</v>
      </c>
      <c r="K43" s="19" t="n">
        <f aca="false">K42-J43</f>
        <v>291666.780000001</v>
      </c>
      <c r="L43" s="20" t="n">
        <f aca="false">$H$4-G43</f>
        <v>9868.03999999998</v>
      </c>
      <c r="M43" s="20" t="n">
        <f aca="false">ROUND($H$5-SUM($D$10:D43),2)</f>
        <v>22575.76</v>
      </c>
      <c r="O43" s="21" t="n">
        <f aca="false">B43-B42</f>
        <v>31</v>
      </c>
    </row>
    <row r="44" customFormat="false" ht="15" hidden="false" customHeight="true" outlineLevel="0" collapsed="false">
      <c r="A44" s="3" t="n">
        <v>35</v>
      </c>
      <c r="B44" s="12" t="n">
        <f aca="false">EOMONTH($E$5,35)</f>
        <v>47361</v>
      </c>
      <c r="C44" s="13" t="n">
        <f aca="false">IF(35=$B$5,I43+F44,$E$4)</f>
        <v>23029.29</v>
      </c>
      <c r="D44" s="14" t="n">
        <f aca="false">ROUND(C44*$E$3/100,2)</f>
        <v>1612.05</v>
      </c>
      <c r="E44" s="15" t="n">
        <f aca="false">C44+D44</f>
        <v>24641.34</v>
      </c>
      <c r="F44" s="16" t="n">
        <f aca="false">ROUND(I43*$B$4/100*O44/365,2)</f>
        <v>1327.66</v>
      </c>
      <c r="G44" s="17" t="n">
        <f aca="false">IF(35=1,F44,G43+F44)</f>
        <v>96966.46</v>
      </c>
      <c r="H44" s="18" t="n">
        <f aca="false">C44-F44</f>
        <v>21701.63</v>
      </c>
      <c r="I44" s="13" t="n">
        <f aca="false">I43-H44</f>
        <v>290941.31</v>
      </c>
      <c r="J44" s="19" t="n">
        <f aca="false">ROUND($B$3/$H$3,2)</f>
        <v>20833.33</v>
      </c>
      <c r="K44" s="19" t="n">
        <f aca="false">K43-J44</f>
        <v>270833.450000001</v>
      </c>
      <c r="L44" s="20" t="n">
        <f aca="false">$H$4-G44</f>
        <v>8540.37999999998</v>
      </c>
      <c r="M44" s="20" t="n">
        <f aca="false">ROUND($H$5-SUM($D$10:D44),2)</f>
        <v>20963.71</v>
      </c>
      <c r="O44" s="21" t="n">
        <f aca="false">B44-B43</f>
        <v>31</v>
      </c>
    </row>
    <row r="45" customFormat="false" ht="15" hidden="false" customHeight="true" outlineLevel="0" collapsed="false">
      <c r="A45" s="3" t="n">
        <v>36</v>
      </c>
      <c r="B45" s="12" t="n">
        <f aca="false">EOMONTH($E$5,36)</f>
        <v>47391</v>
      </c>
      <c r="C45" s="13" t="n">
        <f aca="false">IF(36=$B$5,I44+F45,$E$4)</f>
        <v>23029.29</v>
      </c>
      <c r="D45" s="14" t="n">
        <f aca="false">ROUND(C45*$E$3/100,2)</f>
        <v>1612.05</v>
      </c>
      <c r="E45" s="15" t="n">
        <f aca="false">C45+D45</f>
        <v>24641.34</v>
      </c>
      <c r="F45" s="16" t="n">
        <f aca="false">ROUND(I44*$B$4/100*O45/365,2)</f>
        <v>1195.65</v>
      </c>
      <c r="G45" s="17" t="n">
        <f aca="false">IF(36=1,F45,G44+F45)</f>
        <v>98162.11</v>
      </c>
      <c r="H45" s="18" t="n">
        <f aca="false">C45-F45</f>
        <v>21833.64</v>
      </c>
      <c r="I45" s="13" t="n">
        <f aca="false">I44-H45</f>
        <v>269107.67</v>
      </c>
      <c r="J45" s="19" t="n">
        <f aca="false">ROUND($B$3/$H$3,2)</f>
        <v>20833.33</v>
      </c>
      <c r="K45" s="19" t="n">
        <f aca="false">K44-J45</f>
        <v>250000.120000001</v>
      </c>
      <c r="L45" s="20" t="n">
        <f aca="false">$H$4-G45</f>
        <v>7344.72999999998</v>
      </c>
      <c r="M45" s="20" t="n">
        <f aca="false">ROUND($H$5-SUM($D$10:D45),2)</f>
        <v>19351.66</v>
      </c>
      <c r="O45" s="21" t="n">
        <f aca="false">B45-B44</f>
        <v>30</v>
      </c>
    </row>
    <row r="46" customFormat="false" ht="15" hidden="false" customHeight="true" outlineLevel="0" collapsed="false">
      <c r="A46" s="3" t="n">
        <v>37</v>
      </c>
      <c r="B46" s="12" t="n">
        <f aca="false">EOMONTH($E$5,37)</f>
        <v>47422</v>
      </c>
      <c r="C46" s="13" t="n">
        <f aca="false">IF(37=$B$5,I45+F46,$E$4)</f>
        <v>23029.29</v>
      </c>
      <c r="D46" s="14" t="n">
        <f aca="false">ROUND(C46*$E$3/100,2)</f>
        <v>1612.05</v>
      </c>
      <c r="E46" s="15" t="n">
        <f aca="false">C46+D46</f>
        <v>24641.34</v>
      </c>
      <c r="F46" s="16" t="n">
        <f aca="false">ROUND(I45*$B$4/100*O46/365,2)</f>
        <v>1142.79</v>
      </c>
      <c r="G46" s="17" t="n">
        <f aca="false">IF(37=1,F46,G45+F46)</f>
        <v>99304.9</v>
      </c>
      <c r="H46" s="18" t="n">
        <f aca="false">C46-F46</f>
        <v>21886.5</v>
      </c>
      <c r="I46" s="13" t="n">
        <f aca="false">I45-H46</f>
        <v>247221.17</v>
      </c>
      <c r="J46" s="19" t="n">
        <f aca="false">ROUND($B$3/$H$3,2)</f>
        <v>20833.33</v>
      </c>
      <c r="K46" s="19" t="n">
        <f aca="false">K45-J46</f>
        <v>229166.790000001</v>
      </c>
      <c r="L46" s="20" t="n">
        <f aca="false">$H$4-G46</f>
        <v>6201.93999999999</v>
      </c>
      <c r="M46" s="20" t="n">
        <f aca="false">ROUND($H$5-SUM($D$10:D46),2)</f>
        <v>17739.61</v>
      </c>
      <c r="O46" s="21" t="n">
        <f aca="false">B46-B45</f>
        <v>31</v>
      </c>
    </row>
    <row r="47" customFormat="false" ht="15" hidden="false" customHeight="true" outlineLevel="0" collapsed="false">
      <c r="A47" s="3" t="n">
        <v>38</v>
      </c>
      <c r="B47" s="12" t="n">
        <f aca="false">EOMONTH($E$5,38)</f>
        <v>47452</v>
      </c>
      <c r="C47" s="13" t="n">
        <f aca="false">IF(38=$B$5,I46+F47,$E$4)</f>
        <v>23029.29</v>
      </c>
      <c r="D47" s="14" t="n">
        <f aca="false">ROUND(C47*$E$3/100,2)</f>
        <v>1612.05</v>
      </c>
      <c r="E47" s="15" t="n">
        <f aca="false">C47+D47</f>
        <v>24641.34</v>
      </c>
      <c r="F47" s="16" t="n">
        <f aca="false">ROUND(I46*$B$4/100*O47/365,2)</f>
        <v>1015.98</v>
      </c>
      <c r="G47" s="17" t="n">
        <f aca="false">IF(38=1,F47,G46+F47)</f>
        <v>100320.88</v>
      </c>
      <c r="H47" s="18" t="n">
        <f aca="false">C47-F47</f>
        <v>22013.31</v>
      </c>
      <c r="I47" s="13" t="n">
        <f aca="false">I46-H47</f>
        <v>225207.86</v>
      </c>
      <c r="J47" s="19" t="n">
        <f aca="false">ROUND($B$3/$H$3,2)</f>
        <v>20833.33</v>
      </c>
      <c r="K47" s="19" t="n">
        <f aca="false">K46-J47</f>
        <v>208333.460000001</v>
      </c>
      <c r="L47" s="20" t="n">
        <f aca="false">$H$4-G47</f>
        <v>5185.95999999999</v>
      </c>
      <c r="M47" s="20" t="n">
        <f aca="false">ROUND($H$5-SUM($D$10:D47),2)</f>
        <v>16127.56</v>
      </c>
      <c r="O47" s="21" t="n">
        <f aca="false">B47-B46</f>
        <v>30</v>
      </c>
    </row>
    <row r="48" customFormat="false" ht="15" hidden="false" customHeight="true" outlineLevel="0" collapsed="false">
      <c r="A48" s="3" t="n">
        <v>39</v>
      </c>
      <c r="B48" s="12" t="n">
        <f aca="false">EOMONTH($E$5,39)</f>
        <v>47483</v>
      </c>
      <c r="C48" s="13" t="n">
        <f aca="false">IF(39=$B$5,I47+F48,$E$4)</f>
        <v>23029.29</v>
      </c>
      <c r="D48" s="14" t="n">
        <f aca="false">ROUND(C48*$E$3/100,2)</f>
        <v>1612.05</v>
      </c>
      <c r="E48" s="15" t="n">
        <f aca="false">C48+D48</f>
        <v>24641.34</v>
      </c>
      <c r="F48" s="16" t="n">
        <f aca="false">ROUND(I47*$B$4/100*O48/365,2)</f>
        <v>956.36</v>
      </c>
      <c r="G48" s="17" t="n">
        <f aca="false">IF(39=1,F48,G47+F48)</f>
        <v>101277.24</v>
      </c>
      <c r="H48" s="18" t="n">
        <f aca="false">C48-F48</f>
        <v>22072.93</v>
      </c>
      <c r="I48" s="13" t="n">
        <f aca="false">I47-H48</f>
        <v>203134.93</v>
      </c>
      <c r="J48" s="19" t="n">
        <f aca="false">ROUND($B$3/$H$3,2)</f>
        <v>20833.33</v>
      </c>
      <c r="K48" s="19" t="n">
        <f aca="false">K47-J48</f>
        <v>187500.130000001</v>
      </c>
      <c r="L48" s="20" t="n">
        <f aca="false">$H$4-G48</f>
        <v>4229.59999999999</v>
      </c>
      <c r="M48" s="20" t="n">
        <f aca="false">ROUND($H$5-SUM($D$10:D48),2)</f>
        <v>14515.51</v>
      </c>
      <c r="O48" s="21" t="n">
        <f aca="false">B48-B47</f>
        <v>31</v>
      </c>
    </row>
    <row r="49" customFormat="false" ht="15" hidden="false" customHeight="true" outlineLevel="0" collapsed="false">
      <c r="A49" s="3" t="n">
        <v>40</v>
      </c>
      <c r="B49" s="12" t="n">
        <f aca="false">EOMONTH($E$5,40)</f>
        <v>47514</v>
      </c>
      <c r="C49" s="13" t="n">
        <f aca="false">IF(40=$B$5,I48+F49,$E$4)</f>
        <v>23029.29</v>
      </c>
      <c r="D49" s="14" t="n">
        <f aca="false">ROUND(C49*$E$3/100,2)</f>
        <v>1612.05</v>
      </c>
      <c r="E49" s="15" t="n">
        <f aca="false">C49+D49</f>
        <v>24641.34</v>
      </c>
      <c r="F49" s="16" t="n">
        <f aca="false">ROUND(I48*$B$4/100*O49/365,2)</f>
        <v>862.63</v>
      </c>
      <c r="G49" s="17" t="n">
        <f aca="false">IF(40=1,F49,G48+F49)</f>
        <v>102139.87</v>
      </c>
      <c r="H49" s="18" t="n">
        <f aca="false">C49-F49</f>
        <v>22166.66</v>
      </c>
      <c r="I49" s="13" t="n">
        <f aca="false">I48-H49</f>
        <v>180968.27</v>
      </c>
      <c r="J49" s="19" t="n">
        <f aca="false">ROUND($B$3/$H$3,2)</f>
        <v>20833.33</v>
      </c>
      <c r="K49" s="19" t="n">
        <f aca="false">K48-J49</f>
        <v>166666.800000001</v>
      </c>
      <c r="L49" s="20" t="n">
        <f aca="false">$H$4-G49</f>
        <v>3366.96999999999</v>
      </c>
      <c r="M49" s="20" t="n">
        <f aca="false">ROUND($H$5-SUM($D$10:D49),2)</f>
        <v>12903.46</v>
      </c>
      <c r="O49" s="21" t="n">
        <f aca="false">B49-B48</f>
        <v>31</v>
      </c>
    </row>
    <row r="50" customFormat="false" ht="15" hidden="false" customHeight="true" outlineLevel="0" collapsed="false">
      <c r="A50" s="3" t="n">
        <v>41</v>
      </c>
      <c r="B50" s="12" t="n">
        <f aca="false">EOMONTH($E$5,41)</f>
        <v>47542</v>
      </c>
      <c r="C50" s="13" t="n">
        <f aca="false">IF(41=$B$5,I49+F50,$E$4)</f>
        <v>23029.29</v>
      </c>
      <c r="D50" s="14" t="n">
        <f aca="false">ROUND(C50*$E$3/100,2)</f>
        <v>1612.05</v>
      </c>
      <c r="E50" s="15" t="n">
        <f aca="false">C50+D50</f>
        <v>24641.34</v>
      </c>
      <c r="F50" s="16" t="n">
        <f aca="false">ROUND(I49*$B$4/100*O50/365,2)</f>
        <v>694.12</v>
      </c>
      <c r="G50" s="17" t="n">
        <f aca="false">IF(41=1,F50,G49+F50)</f>
        <v>102833.99</v>
      </c>
      <c r="H50" s="18" t="n">
        <f aca="false">C50-F50</f>
        <v>22335.17</v>
      </c>
      <c r="I50" s="13" t="n">
        <f aca="false">I49-H50</f>
        <v>158633.1</v>
      </c>
      <c r="J50" s="19" t="n">
        <f aca="false">ROUND($B$3/$H$3,2)</f>
        <v>20833.33</v>
      </c>
      <c r="K50" s="19" t="n">
        <f aca="false">K49-J50</f>
        <v>145833.470000001</v>
      </c>
      <c r="L50" s="20" t="n">
        <f aca="false">$H$4-G50</f>
        <v>2672.84999999999</v>
      </c>
      <c r="M50" s="20" t="n">
        <f aca="false">ROUND($H$5-SUM($D$10:D50),2)</f>
        <v>11291.41</v>
      </c>
      <c r="O50" s="21" t="n">
        <f aca="false">B50-B49</f>
        <v>28</v>
      </c>
    </row>
    <row r="51" customFormat="false" ht="15" hidden="false" customHeight="true" outlineLevel="0" collapsed="false">
      <c r="A51" s="3" t="n">
        <v>42</v>
      </c>
      <c r="B51" s="12" t="n">
        <f aca="false">EOMONTH($E$5,42)</f>
        <v>47573</v>
      </c>
      <c r="C51" s="13" t="n">
        <f aca="false">IF(42=$B$5,I50+F51,$E$4)</f>
        <v>23029.29</v>
      </c>
      <c r="D51" s="14" t="n">
        <f aca="false">ROUND(C51*$E$3/100,2)</f>
        <v>1612.05</v>
      </c>
      <c r="E51" s="15" t="n">
        <f aca="false">C51+D51</f>
        <v>24641.34</v>
      </c>
      <c r="F51" s="16" t="n">
        <f aca="false">ROUND(I50*$B$4/100*O51/365,2)</f>
        <v>673.65</v>
      </c>
      <c r="G51" s="17" t="n">
        <f aca="false">IF(42=1,F51,G50+F51)</f>
        <v>103507.64</v>
      </c>
      <c r="H51" s="18" t="n">
        <f aca="false">C51-F51</f>
        <v>22355.64</v>
      </c>
      <c r="I51" s="13" t="n">
        <f aca="false">I50-H51</f>
        <v>136277.46</v>
      </c>
      <c r="J51" s="19" t="n">
        <f aca="false">ROUND($B$3/$H$3,2)</f>
        <v>20833.33</v>
      </c>
      <c r="K51" s="19" t="n">
        <f aca="false">K50-J51</f>
        <v>125000.140000001</v>
      </c>
      <c r="L51" s="20" t="n">
        <f aca="false">$H$4-G51</f>
        <v>1999.2</v>
      </c>
      <c r="M51" s="20" t="n">
        <f aca="false">ROUND($H$5-SUM($D$10:D51),2)</f>
        <v>9679.36</v>
      </c>
      <c r="O51" s="21" t="n">
        <f aca="false">B51-B50</f>
        <v>31</v>
      </c>
    </row>
    <row r="52" customFormat="false" ht="15" hidden="false" customHeight="true" outlineLevel="0" collapsed="false">
      <c r="A52" s="3" t="n">
        <v>43</v>
      </c>
      <c r="B52" s="12" t="n">
        <f aca="false">EOMONTH($E$5,43)</f>
        <v>47603</v>
      </c>
      <c r="C52" s="13" t="n">
        <f aca="false">IF(43=$B$5,I51+F52,$E$4)</f>
        <v>23029.29</v>
      </c>
      <c r="D52" s="14" t="n">
        <f aca="false">ROUND(C52*$E$3/100,2)</f>
        <v>1612.05</v>
      </c>
      <c r="E52" s="15" t="n">
        <f aca="false">C52+D52</f>
        <v>24641.34</v>
      </c>
      <c r="F52" s="16" t="n">
        <f aca="false">ROUND(I51*$B$4/100*O52/365,2)</f>
        <v>560.04</v>
      </c>
      <c r="G52" s="17" t="n">
        <f aca="false">IF(43=1,F52,G51+F52)</f>
        <v>104067.68</v>
      </c>
      <c r="H52" s="18" t="n">
        <f aca="false">C52-F52</f>
        <v>22469.25</v>
      </c>
      <c r="I52" s="13" t="n">
        <f aca="false">I51-H52</f>
        <v>113808.21</v>
      </c>
      <c r="J52" s="19" t="n">
        <f aca="false">ROUND($B$3/$H$3,2)</f>
        <v>20833.33</v>
      </c>
      <c r="K52" s="19" t="n">
        <f aca="false">K51-J52</f>
        <v>104166.810000001</v>
      </c>
      <c r="L52" s="20" t="n">
        <f aca="false">$H$4-G52</f>
        <v>1439.16</v>
      </c>
      <c r="M52" s="20" t="n">
        <f aca="false">ROUND($H$5-SUM($D$10:D52),2)</f>
        <v>8067.31</v>
      </c>
      <c r="O52" s="21" t="n">
        <f aca="false">B52-B51</f>
        <v>30</v>
      </c>
    </row>
    <row r="53" customFormat="false" ht="15" hidden="false" customHeight="true" outlineLevel="0" collapsed="false">
      <c r="A53" s="3" t="n">
        <v>44</v>
      </c>
      <c r="B53" s="12" t="n">
        <f aca="false">EOMONTH($E$5,44)</f>
        <v>47634</v>
      </c>
      <c r="C53" s="13" t="n">
        <f aca="false">IF(44=$B$5,I52+F53,$E$4)</f>
        <v>23029.29</v>
      </c>
      <c r="D53" s="14" t="n">
        <f aca="false">ROUND(C53*$E$3/100,2)</f>
        <v>1612.05</v>
      </c>
      <c r="E53" s="15" t="n">
        <f aca="false">C53+D53</f>
        <v>24641.34</v>
      </c>
      <c r="F53" s="16" t="n">
        <f aca="false">ROUND(I52*$B$4/100*O53/365,2)</f>
        <v>483.3</v>
      </c>
      <c r="G53" s="17" t="n">
        <f aca="false">IF(44=1,F53,G52+F53)</f>
        <v>104550.98</v>
      </c>
      <c r="H53" s="18" t="n">
        <f aca="false">C53-F53</f>
        <v>22545.99</v>
      </c>
      <c r="I53" s="13" t="n">
        <f aca="false">I52-H53</f>
        <v>91262.22</v>
      </c>
      <c r="J53" s="19" t="n">
        <f aca="false">ROUND($B$3/$H$3,2)</f>
        <v>20833.33</v>
      </c>
      <c r="K53" s="19" t="n">
        <f aca="false">K52-J53</f>
        <v>83333.4800000006</v>
      </c>
      <c r="L53" s="20" t="n">
        <f aca="false">$H$4-G53</f>
        <v>955.860000000001</v>
      </c>
      <c r="M53" s="20" t="n">
        <f aca="false">ROUND($H$5-SUM($D$10:D53),2)</f>
        <v>6455.26</v>
      </c>
      <c r="O53" s="21" t="n">
        <f aca="false">B53-B52</f>
        <v>31</v>
      </c>
    </row>
    <row r="54" customFormat="false" ht="15" hidden="false" customHeight="true" outlineLevel="0" collapsed="false">
      <c r="A54" s="3" t="n">
        <v>45</v>
      </c>
      <c r="B54" s="12" t="n">
        <f aca="false">EOMONTH($E$5,45)</f>
        <v>47664</v>
      </c>
      <c r="C54" s="13" t="n">
        <f aca="false">IF(45=$B$5,I53+F54,$E$4)</f>
        <v>23029.29</v>
      </c>
      <c r="D54" s="14" t="n">
        <f aca="false">ROUND(C54*$E$3/100,2)</f>
        <v>1612.05</v>
      </c>
      <c r="E54" s="15" t="n">
        <f aca="false">C54+D54</f>
        <v>24641.34</v>
      </c>
      <c r="F54" s="16" t="n">
        <f aca="false">ROUND(I53*$B$4/100*O54/365,2)</f>
        <v>375.05</v>
      </c>
      <c r="G54" s="17" t="n">
        <f aca="false">IF(45=1,F54,G53+F54)</f>
        <v>104926.03</v>
      </c>
      <c r="H54" s="18" t="n">
        <f aca="false">C54-F54</f>
        <v>22654.24</v>
      </c>
      <c r="I54" s="13" t="n">
        <f aca="false">I53-H54</f>
        <v>68607.98</v>
      </c>
      <c r="J54" s="19" t="n">
        <f aca="false">ROUND($B$3/$H$3,2)</f>
        <v>20833.33</v>
      </c>
      <c r="K54" s="19" t="n">
        <f aca="false">K53-J54</f>
        <v>62500.1500000006</v>
      </c>
      <c r="L54" s="20" t="n">
        <f aca="false">$H$4-G54</f>
        <v>580.809999999998</v>
      </c>
      <c r="M54" s="20" t="n">
        <f aca="false">ROUND($H$5-SUM($D$10:D54),2)</f>
        <v>4843.21</v>
      </c>
      <c r="O54" s="21" t="n">
        <f aca="false">B54-B53</f>
        <v>30</v>
      </c>
    </row>
    <row r="55" customFormat="false" ht="15" hidden="false" customHeight="true" outlineLevel="0" collapsed="false">
      <c r="A55" s="3" t="n">
        <v>46</v>
      </c>
      <c r="B55" s="12" t="n">
        <f aca="false">EOMONTH($E$5,46)</f>
        <v>47695</v>
      </c>
      <c r="C55" s="13" t="n">
        <f aca="false">IF(46=$B$5,I54+F55,$E$4)</f>
        <v>23029.29</v>
      </c>
      <c r="D55" s="14" t="n">
        <f aca="false">ROUND(C55*$E$3/100,2)</f>
        <v>1612.05</v>
      </c>
      <c r="E55" s="15" t="n">
        <f aca="false">C55+D55</f>
        <v>24641.34</v>
      </c>
      <c r="F55" s="16" t="n">
        <f aca="false">ROUND(I54*$B$4/100*O55/365,2)</f>
        <v>291.35</v>
      </c>
      <c r="G55" s="17" t="n">
        <f aca="false">IF(46=1,F55,G54+F55)</f>
        <v>105217.38</v>
      </c>
      <c r="H55" s="18" t="n">
        <f aca="false">C55-F55</f>
        <v>22737.94</v>
      </c>
      <c r="I55" s="13" t="n">
        <f aca="false">I54-H55</f>
        <v>45870.04</v>
      </c>
      <c r="J55" s="19" t="n">
        <f aca="false">ROUND($B$3/$H$3,2)</f>
        <v>20833.33</v>
      </c>
      <c r="K55" s="19" t="n">
        <f aca="false">K54-J55</f>
        <v>41666.8200000006</v>
      </c>
      <c r="L55" s="20" t="n">
        <f aca="false">$H$4-G55</f>
        <v>289.459999999992</v>
      </c>
      <c r="M55" s="20" t="n">
        <f aca="false">ROUND($H$5-SUM($D$10:D55),2)</f>
        <v>3231.16</v>
      </c>
      <c r="O55" s="21" t="n">
        <f aca="false">B55-B54</f>
        <v>31</v>
      </c>
    </row>
    <row r="56" customFormat="false" ht="15" hidden="false" customHeight="true" outlineLevel="0" collapsed="false">
      <c r="A56" s="3" t="n">
        <v>47</v>
      </c>
      <c r="B56" s="12" t="n">
        <f aca="false">EOMONTH($E$5,47)</f>
        <v>47726</v>
      </c>
      <c r="C56" s="13" t="n">
        <f aca="false">IF(47=$B$5,I55+F56,$E$4)</f>
        <v>23029.29</v>
      </c>
      <c r="D56" s="14" t="n">
        <f aca="false">ROUND(C56*$E$3/100,2)</f>
        <v>1612.05</v>
      </c>
      <c r="E56" s="15" t="n">
        <f aca="false">C56+D56</f>
        <v>24641.34</v>
      </c>
      <c r="F56" s="16" t="n">
        <f aca="false">ROUND(I55*$B$4/100*O56/365,2)</f>
        <v>194.79</v>
      </c>
      <c r="G56" s="17" t="n">
        <f aca="false">IF(47=1,F56,G55+F56)</f>
        <v>105412.17</v>
      </c>
      <c r="H56" s="18" t="n">
        <f aca="false">C56-F56</f>
        <v>22834.5</v>
      </c>
      <c r="I56" s="13" t="n">
        <f aca="false">I55-H56</f>
        <v>23035.54</v>
      </c>
      <c r="J56" s="19" t="n">
        <f aca="false">ROUND($B$3/$H$3,2)</f>
        <v>20833.33</v>
      </c>
      <c r="K56" s="19" t="n">
        <f aca="false">K55-J56</f>
        <v>20833.4900000006</v>
      </c>
      <c r="L56" s="20" t="n">
        <f aca="false">$H$4-G56</f>
        <v>94.6699999999983</v>
      </c>
      <c r="M56" s="20" t="n">
        <f aca="false">ROUND($H$5-SUM($D$10:D56),2)</f>
        <v>1619.11</v>
      </c>
      <c r="O56" s="21" t="n">
        <f aca="false">B56-B55</f>
        <v>31</v>
      </c>
    </row>
    <row r="57" customFormat="false" ht="15" hidden="false" customHeight="true" outlineLevel="0" collapsed="false">
      <c r="A57" s="3" t="n">
        <v>48</v>
      </c>
      <c r="B57" s="12" t="n">
        <f aca="false">EOMONTH($E$5,48)</f>
        <v>47756</v>
      </c>
      <c r="C57" s="13" t="n">
        <f aca="false">IF(48=$B$5,I56+F57,$E$4)</f>
        <v>23130.21</v>
      </c>
      <c r="D57" s="14" t="n">
        <f aca="false">ROUND(C57*$E$3/100,2)</f>
        <v>1619.11</v>
      </c>
      <c r="E57" s="15" t="n">
        <f aca="false">C57+D57</f>
        <v>24749.32</v>
      </c>
      <c r="F57" s="16" t="n">
        <f aca="false">ROUND(I56*$B$4/100*O57/365,2)</f>
        <v>94.67</v>
      </c>
      <c r="G57" s="17" t="n">
        <f aca="false">IF(48=1,F57,G56+F57)</f>
        <v>105506.84</v>
      </c>
      <c r="H57" s="18" t="n">
        <f aca="false">C57-F57</f>
        <v>23035.54</v>
      </c>
      <c r="I57" s="13" t="n">
        <f aca="false">I56-H57</f>
        <v>0</v>
      </c>
      <c r="J57" s="19" t="n">
        <f aca="false">ROUND($B$3/$H$3,2)</f>
        <v>20833.33</v>
      </c>
      <c r="K57" s="19" t="n">
        <f aca="false">K56-J57</f>
        <v>0.160000000600121</v>
      </c>
      <c r="L57" s="20" t="n">
        <f aca="false">$H$4-G57</f>
        <v>0</v>
      </c>
      <c r="M57" s="20" t="n">
        <f aca="false">ROUND($H$5-SUM($D$10:D57),2)</f>
        <v>0</v>
      </c>
      <c r="O57" s="21" t="n">
        <f aca="false">B57-B56</f>
        <v>30</v>
      </c>
    </row>
  </sheetData>
  <mergeCells count="1">
    <mergeCell ref="A1:M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0"/>
    <col collapsed="false" customWidth="true" hidden="false" outlineLevel="0" max="3" min="3" style="1" width="16"/>
    <col collapsed="false" customWidth="true" hidden="false" outlineLevel="0" max="4" min="4" style="1" width="64"/>
  </cols>
  <sheetData>
    <row r="1" customFormat="false" ht="15.75" hidden="false" customHeight="true" outlineLevel="0" collapsed="false">
      <c r="A1" s="2" t="s">
        <v>23</v>
      </c>
      <c r="B1" s="2"/>
      <c r="C1" s="2"/>
    </row>
    <row r="3" customFormat="false" ht="15" hidden="false" customHeight="true" outlineLevel="0" collapsed="false">
      <c r="A3" s="22" t="s">
        <v>24</v>
      </c>
      <c r="D3" s="23" t="s">
        <v>25</v>
      </c>
    </row>
    <row r="4" customFormat="false" ht="21.75" hidden="false" customHeight="true" outlineLevel="0" collapsed="false">
      <c r="A4" s="3" t="s">
        <v>26</v>
      </c>
      <c r="C4" s="13" t="n">
        <f aca="false">SUM('HP Amortization'!H10:H21)</f>
        <v>231612.99</v>
      </c>
      <c r="D4" s="24" t="s">
        <v>27</v>
      </c>
    </row>
    <row r="5" customFormat="false" ht="15" hidden="false" customHeight="true" outlineLevel="0" collapsed="false">
      <c r="A5" s="3" t="s">
        <v>28</v>
      </c>
      <c r="C5" s="13" t="n">
        <f aca="false">SUM('HP Amortization'!H22:H57)</f>
        <v>768387.01</v>
      </c>
      <c r="D5" s="24" t="s">
        <v>29</v>
      </c>
    </row>
    <row r="6" customFormat="false" ht="15" hidden="false" customHeight="true" outlineLevel="0" collapsed="false">
      <c r="A6" s="8" t="s">
        <v>30</v>
      </c>
      <c r="C6" s="9" t="n">
        <f aca="false">'HP Amortization'!$B$3</f>
        <v>1000000</v>
      </c>
      <c r="D6" s="24" t="s">
        <v>31</v>
      </c>
    </row>
    <row r="8" customFormat="false" ht="15" hidden="false" customHeight="true" outlineLevel="0" collapsed="false">
      <c r="A8" s="22" t="s">
        <v>32</v>
      </c>
      <c r="D8" s="23" t="s">
        <v>33</v>
      </c>
    </row>
    <row r="9" customFormat="false" ht="15" hidden="false" customHeight="true" outlineLevel="0" collapsed="false">
      <c r="A9" s="3" t="s">
        <v>34</v>
      </c>
      <c r="C9" s="13" t="n">
        <f aca="false">SUMPRODUCT(('HP Amortization'!A10:A57&lt;=12)*('HP Amortization'!H10:H57+'HP Amortization'!F10:F57))</f>
        <v>276351.48</v>
      </c>
      <c r="D9" s="24" t="s">
        <v>35</v>
      </c>
    </row>
    <row r="10" customFormat="false" ht="15" hidden="false" customHeight="true" outlineLevel="0" collapsed="false">
      <c r="A10" s="3" t="s">
        <v>36</v>
      </c>
      <c r="C10" s="13" t="n">
        <f aca="false">SUMPRODUCT(('HP Amortization'!A10:A57&gt;12)*('HP Amortization'!A10:A57&lt;=60)*('HP Amortization'!H10:H57+'HP Amortization'!F10:F57))</f>
        <v>829155.36</v>
      </c>
      <c r="D10" s="24" t="s">
        <v>37</v>
      </c>
    </row>
    <row r="11" customFormat="false" ht="15" hidden="false" customHeight="true" outlineLevel="0" collapsed="false">
      <c r="A11" s="3" t="s">
        <v>38</v>
      </c>
      <c r="C11" s="13" t="n">
        <f aca="false">SUMPRODUCT(('HP Amortization'!A10:A57&gt;60)*('HP Amortization'!H10:H57+'HP Amortization'!F10:F57))</f>
        <v>0</v>
      </c>
      <c r="D11" s="24" t="s">
        <v>39</v>
      </c>
    </row>
    <row r="12" customFormat="false" ht="21.75" hidden="false" customHeight="true" outlineLevel="0" collapsed="false">
      <c r="A12" s="8" t="s">
        <v>40</v>
      </c>
      <c r="C12" s="9" t="n">
        <f aca="false">'HP Amortization'!$B$3+'HP Amortization'!$H$4</f>
        <v>1105506.84</v>
      </c>
      <c r="D12" s="24" t="s">
        <v>41</v>
      </c>
    </row>
    <row r="14" customFormat="false" ht="15" hidden="false" customHeight="true" outlineLevel="0" collapsed="false">
      <c r="A14" s="22" t="s">
        <v>42</v>
      </c>
    </row>
  </sheetData>
  <mergeCells count="1">
    <mergeCell ref="A1:C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4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12"/>
    <col collapsed="false" customWidth="true" hidden="false" outlineLevel="0" max="3" min="3" style="1" width="13"/>
    <col collapsed="false" customWidth="true" hidden="false" outlineLevel="0" max="4" min="4" style="1" width="12"/>
    <col collapsed="false" customWidth="true" hidden="false" outlineLevel="0" max="6" min="5" style="1" width="16"/>
    <col collapsed="false" customWidth="true" hidden="false" outlineLevel="0" max="8" min="7" style="1" width="13"/>
    <col collapsed="false" customWidth="true" hidden="false" outlineLevel="0" max="10" min="10" style="1" width="5"/>
  </cols>
  <sheetData>
    <row r="1" customFormat="false" ht="15" hidden="false" customHeight="true" outlineLevel="0" collapsed="false">
      <c r="A1" s="2" t="s">
        <v>43</v>
      </c>
      <c r="B1" s="2"/>
      <c r="C1" s="2"/>
      <c r="D1" s="2"/>
      <c r="E1" s="2"/>
      <c r="F1" s="2"/>
      <c r="G1" s="2"/>
      <c r="H1" s="2"/>
    </row>
    <row r="3" customFormat="false" ht="15" hidden="false" customHeight="true" outlineLevel="0" collapsed="false">
      <c r="A3" s="3" t="s">
        <v>44</v>
      </c>
      <c r="B3" s="4" t="n">
        <v>800000</v>
      </c>
      <c r="D3" s="3" t="s">
        <v>3</v>
      </c>
      <c r="E3" s="5" t="n">
        <v>36</v>
      </c>
    </row>
    <row r="4" customFormat="false" ht="15" hidden="false" customHeight="true" outlineLevel="0" collapsed="false">
      <c r="A4" s="3" t="s">
        <v>4</v>
      </c>
      <c r="B4" s="6" t="n">
        <v>4</v>
      </c>
      <c r="D4" s="3" t="s">
        <v>8</v>
      </c>
      <c r="E4" s="10" t="n">
        <v>46295</v>
      </c>
      <c r="G4" s="8" t="s">
        <v>45</v>
      </c>
      <c r="H4" s="9" t="n">
        <f aca="false">ROUND(-PMT($B$4/100/12,$B$5,$B$3),2)</f>
        <v>23619.19</v>
      </c>
    </row>
    <row r="5" customFormat="false" ht="15" hidden="false" customHeight="true" outlineLevel="0" collapsed="false">
      <c r="A5" s="3" t="s">
        <v>7</v>
      </c>
      <c r="B5" s="5" t="n">
        <v>36</v>
      </c>
      <c r="D5" s="3" t="s">
        <v>46</v>
      </c>
      <c r="E5" s="7" t="n">
        <v>0</v>
      </c>
      <c r="G5" s="8" t="s">
        <v>6</v>
      </c>
      <c r="H5" s="9" t="n">
        <f aca="false">SUM(D10:D45)</f>
        <v>50310.92</v>
      </c>
    </row>
    <row r="9" customFormat="false" ht="23.25" hidden="false" customHeight="true" outlineLevel="0" collapsed="false">
      <c r="A9" s="11" t="s">
        <v>10</v>
      </c>
      <c r="B9" s="11" t="s">
        <v>11</v>
      </c>
      <c r="C9" s="11" t="s">
        <v>12</v>
      </c>
      <c r="D9" s="11" t="s">
        <v>15</v>
      </c>
      <c r="E9" s="11" t="s">
        <v>47</v>
      </c>
      <c r="F9" s="11" t="s">
        <v>48</v>
      </c>
      <c r="G9" s="11" t="s">
        <v>19</v>
      </c>
      <c r="H9" s="11" t="s">
        <v>20</v>
      </c>
    </row>
    <row r="10" customFormat="false" ht="15" hidden="false" customHeight="true" outlineLevel="0" collapsed="false">
      <c r="A10" s="3" t="n">
        <v>1</v>
      </c>
      <c r="B10" s="12" t="n">
        <f aca="false">EOMONTH($E$5,1)</f>
        <v>32</v>
      </c>
      <c r="C10" s="13" t="n">
        <f aca="false">IF(1=$B$5,F9+D10,$H$4)</f>
        <v>23619.19</v>
      </c>
      <c r="D10" s="16" t="n">
        <f aca="false">ROUND($B$3*$B$4/100*J10/365,2)</f>
        <v>2805.48</v>
      </c>
      <c r="E10" s="18" t="n">
        <f aca="false">C10-D10</f>
        <v>20813.71</v>
      </c>
      <c r="F10" s="13" t="n">
        <f aca="false">$B$3-E10</f>
        <v>779186.29</v>
      </c>
      <c r="G10" s="19" t="n">
        <f aca="false">ROUND(($B$3+$E$5)/$E$3,2)</f>
        <v>22222.22</v>
      </c>
      <c r="H10" s="19" t="n">
        <f aca="false">($B$3+$E$5)-G10</f>
        <v>777777.78</v>
      </c>
      <c r="J10" s="25" t="n">
        <f aca="false">B10-$E$5</f>
        <v>32</v>
      </c>
    </row>
    <row r="11" customFormat="false" ht="15" hidden="false" customHeight="true" outlineLevel="0" collapsed="false">
      <c r="A11" s="3" t="n">
        <v>2</v>
      </c>
      <c r="B11" s="12" t="n">
        <f aca="false">EOMONTH($E$5,2)</f>
        <v>60</v>
      </c>
      <c r="C11" s="13" t="n">
        <f aca="false">IF(2=$B$5,F10+D11,$H$4)</f>
        <v>23619.19</v>
      </c>
      <c r="D11" s="16" t="n">
        <f aca="false">ROUND(F10*$B$4/100*J11/365,2)</f>
        <v>2390.93</v>
      </c>
      <c r="E11" s="18" t="n">
        <f aca="false">C11-D11</f>
        <v>21228.26</v>
      </c>
      <c r="F11" s="13" t="n">
        <f aca="false">F10-E11</f>
        <v>757958.03</v>
      </c>
      <c r="G11" s="19" t="n">
        <f aca="false">ROUND(($B$3+$E$5)/$E$3,2)</f>
        <v>22222.22</v>
      </c>
      <c r="H11" s="19" t="n">
        <f aca="false">H10-G11</f>
        <v>755555.56</v>
      </c>
      <c r="J11" s="21" t="n">
        <f aca="false">B11-B10</f>
        <v>28</v>
      </c>
    </row>
    <row r="12" customFormat="false" ht="15" hidden="false" customHeight="true" outlineLevel="0" collapsed="false">
      <c r="A12" s="3" t="n">
        <v>3</v>
      </c>
      <c r="B12" s="12" t="n">
        <f aca="false">EOMONTH($E$5,3)</f>
        <v>91</v>
      </c>
      <c r="C12" s="13" t="n">
        <f aca="false">IF(3=$B$5,F11+D12,$H$4)</f>
        <v>23619.19</v>
      </c>
      <c r="D12" s="16" t="n">
        <f aca="false">ROUND(F11*$B$4/100*J12/365,2)</f>
        <v>2574.98</v>
      </c>
      <c r="E12" s="18" t="n">
        <f aca="false">C12-D12</f>
        <v>21044.21</v>
      </c>
      <c r="F12" s="13" t="n">
        <f aca="false">F11-E12</f>
        <v>736913.82</v>
      </c>
      <c r="G12" s="19" t="n">
        <f aca="false">ROUND(($B$3+$E$5)/$E$3,2)</f>
        <v>22222.22</v>
      </c>
      <c r="H12" s="19" t="n">
        <f aca="false">H11-G12</f>
        <v>733333.34</v>
      </c>
      <c r="J12" s="21" t="n">
        <f aca="false">B12-B11</f>
        <v>31</v>
      </c>
    </row>
    <row r="13" customFormat="false" ht="15" hidden="false" customHeight="true" outlineLevel="0" collapsed="false">
      <c r="A13" s="3" t="n">
        <v>4</v>
      </c>
      <c r="B13" s="12" t="n">
        <f aca="false">EOMONTH($E$5,4)</f>
        <v>121</v>
      </c>
      <c r="C13" s="13" t="n">
        <f aca="false">IF(4=$B$5,F12+D13,$H$4)</f>
        <v>23619.19</v>
      </c>
      <c r="D13" s="16" t="n">
        <f aca="false">ROUND(F12*$B$4/100*J13/365,2)</f>
        <v>2422.73</v>
      </c>
      <c r="E13" s="18" t="n">
        <f aca="false">C13-D13</f>
        <v>21196.46</v>
      </c>
      <c r="F13" s="13" t="n">
        <f aca="false">F12-E13</f>
        <v>715717.36</v>
      </c>
      <c r="G13" s="19" t="n">
        <f aca="false">ROUND(($B$3+$E$5)/$E$3,2)</f>
        <v>22222.22</v>
      </c>
      <c r="H13" s="19" t="n">
        <f aca="false">H12-G13</f>
        <v>711111.12</v>
      </c>
      <c r="J13" s="21" t="n">
        <f aca="false">B13-B12</f>
        <v>30</v>
      </c>
    </row>
    <row r="14" customFormat="false" ht="15" hidden="false" customHeight="true" outlineLevel="0" collapsed="false">
      <c r="A14" s="3" t="n">
        <v>5</v>
      </c>
      <c r="B14" s="12" t="n">
        <f aca="false">EOMONTH($E$5,5)</f>
        <v>152</v>
      </c>
      <c r="C14" s="13" t="n">
        <f aca="false">IF(5=$B$5,F13+D14,$H$4)</f>
        <v>23619.19</v>
      </c>
      <c r="D14" s="16" t="n">
        <f aca="false">ROUND(F13*$B$4/100*J14/365,2)</f>
        <v>2431.48</v>
      </c>
      <c r="E14" s="18" t="n">
        <f aca="false">C14-D14</f>
        <v>21187.71</v>
      </c>
      <c r="F14" s="13" t="n">
        <f aca="false">F13-E14</f>
        <v>694529.65</v>
      </c>
      <c r="G14" s="19" t="n">
        <f aca="false">ROUND(($B$3+$E$5)/$E$3,2)</f>
        <v>22222.22</v>
      </c>
      <c r="H14" s="19" t="n">
        <f aca="false">H13-G14</f>
        <v>688888.9</v>
      </c>
      <c r="J14" s="21" t="n">
        <f aca="false">B14-B13</f>
        <v>31</v>
      </c>
    </row>
    <row r="15" customFormat="false" ht="15" hidden="false" customHeight="true" outlineLevel="0" collapsed="false">
      <c r="A15" s="3" t="n">
        <v>6</v>
      </c>
      <c r="B15" s="12" t="n">
        <f aca="false">EOMONTH($E$5,6)</f>
        <v>182</v>
      </c>
      <c r="C15" s="13" t="n">
        <f aca="false">IF(6=$B$5,F14+D15,$H$4)</f>
        <v>23619.19</v>
      </c>
      <c r="D15" s="16" t="n">
        <f aca="false">ROUND(F14*$B$4/100*J15/365,2)</f>
        <v>2283.39</v>
      </c>
      <c r="E15" s="18" t="n">
        <f aca="false">C15-D15</f>
        <v>21335.8</v>
      </c>
      <c r="F15" s="13" t="n">
        <f aca="false">F14-E15</f>
        <v>673193.85</v>
      </c>
      <c r="G15" s="19" t="n">
        <f aca="false">ROUND(($B$3+$E$5)/$E$3,2)</f>
        <v>22222.22</v>
      </c>
      <c r="H15" s="19" t="n">
        <f aca="false">H14-G15</f>
        <v>666666.68</v>
      </c>
      <c r="J15" s="21" t="n">
        <f aca="false">B15-B14</f>
        <v>30</v>
      </c>
    </row>
    <row r="16" customFormat="false" ht="15" hidden="false" customHeight="true" outlineLevel="0" collapsed="false">
      <c r="A16" s="3" t="n">
        <v>7</v>
      </c>
      <c r="B16" s="12" t="n">
        <f aca="false">EOMONTH($E$5,7)</f>
        <v>213</v>
      </c>
      <c r="C16" s="13" t="n">
        <f aca="false">IF(7=$B$5,F15+D16,$H$4)</f>
        <v>23619.19</v>
      </c>
      <c r="D16" s="16" t="n">
        <f aca="false">ROUND(F15*$B$4/100*J16/365,2)</f>
        <v>2287.01</v>
      </c>
      <c r="E16" s="18" t="n">
        <f aca="false">C16-D16</f>
        <v>21332.18</v>
      </c>
      <c r="F16" s="13" t="n">
        <f aca="false">F15-E16</f>
        <v>651861.67</v>
      </c>
      <c r="G16" s="19" t="n">
        <f aca="false">ROUND(($B$3+$E$5)/$E$3,2)</f>
        <v>22222.22</v>
      </c>
      <c r="H16" s="19" t="n">
        <f aca="false">H15-G16</f>
        <v>644444.46</v>
      </c>
      <c r="J16" s="21" t="n">
        <f aca="false">B16-B15</f>
        <v>31</v>
      </c>
    </row>
    <row r="17" customFormat="false" ht="15" hidden="false" customHeight="true" outlineLevel="0" collapsed="false">
      <c r="A17" s="3" t="n">
        <v>8</v>
      </c>
      <c r="B17" s="12" t="n">
        <f aca="false">EOMONTH($E$5,8)</f>
        <v>244</v>
      </c>
      <c r="C17" s="13" t="n">
        <f aca="false">IF(8=$B$5,F16+D17,$H$4)</f>
        <v>23619.19</v>
      </c>
      <c r="D17" s="16" t="n">
        <f aca="false">ROUND(F16*$B$4/100*J17/365,2)</f>
        <v>2214.54</v>
      </c>
      <c r="E17" s="18" t="n">
        <f aca="false">C17-D17</f>
        <v>21404.65</v>
      </c>
      <c r="F17" s="13" t="n">
        <f aca="false">F16-E17</f>
        <v>630457.02</v>
      </c>
      <c r="G17" s="19" t="n">
        <f aca="false">ROUND(($B$3+$E$5)/$E$3,2)</f>
        <v>22222.22</v>
      </c>
      <c r="H17" s="19" t="n">
        <f aca="false">H16-G17</f>
        <v>622222.24</v>
      </c>
      <c r="J17" s="21" t="n">
        <f aca="false">B17-B16</f>
        <v>31</v>
      </c>
    </row>
    <row r="18" customFormat="false" ht="15" hidden="false" customHeight="true" outlineLevel="0" collapsed="false">
      <c r="A18" s="3" t="n">
        <v>9</v>
      </c>
      <c r="B18" s="12" t="n">
        <f aca="false">EOMONTH($E$5,9)</f>
        <v>274</v>
      </c>
      <c r="C18" s="13" t="n">
        <f aca="false">IF(9=$B$5,F17+D18,$H$4)</f>
        <v>23619.19</v>
      </c>
      <c r="D18" s="16" t="n">
        <f aca="false">ROUND(F17*$B$4/100*J18/365,2)</f>
        <v>2072.74</v>
      </c>
      <c r="E18" s="18" t="n">
        <f aca="false">C18-D18</f>
        <v>21546.45</v>
      </c>
      <c r="F18" s="13" t="n">
        <f aca="false">F17-E18</f>
        <v>608910.57</v>
      </c>
      <c r="G18" s="19" t="n">
        <f aca="false">ROUND(($B$3+$E$5)/$E$3,2)</f>
        <v>22222.22</v>
      </c>
      <c r="H18" s="19" t="n">
        <f aca="false">H17-G18</f>
        <v>600000.02</v>
      </c>
      <c r="J18" s="21" t="n">
        <f aca="false">B18-B17</f>
        <v>30</v>
      </c>
    </row>
    <row r="19" customFormat="false" ht="15" hidden="false" customHeight="true" outlineLevel="0" collapsed="false">
      <c r="A19" s="3" t="n">
        <v>10</v>
      </c>
      <c r="B19" s="12" t="n">
        <f aca="false">EOMONTH($E$5,10)</f>
        <v>305</v>
      </c>
      <c r="C19" s="13" t="n">
        <f aca="false">IF(10=$B$5,F18+D19,$H$4)</f>
        <v>23619.19</v>
      </c>
      <c r="D19" s="16" t="n">
        <f aca="false">ROUND(F18*$B$4/100*J19/365,2)</f>
        <v>2068.63</v>
      </c>
      <c r="E19" s="18" t="n">
        <f aca="false">C19-D19</f>
        <v>21550.56</v>
      </c>
      <c r="F19" s="13" t="n">
        <f aca="false">F18-E19</f>
        <v>587360.01</v>
      </c>
      <c r="G19" s="19" t="n">
        <f aca="false">ROUND(($B$3+$E$5)/$E$3,2)</f>
        <v>22222.22</v>
      </c>
      <c r="H19" s="19" t="n">
        <f aca="false">H18-G19</f>
        <v>577777.8</v>
      </c>
      <c r="J19" s="21" t="n">
        <f aca="false">B19-B18</f>
        <v>31</v>
      </c>
    </row>
    <row r="20" customFormat="false" ht="15" hidden="false" customHeight="true" outlineLevel="0" collapsed="false">
      <c r="A20" s="3" t="n">
        <v>11</v>
      </c>
      <c r="B20" s="12" t="n">
        <f aca="false">EOMONTH($E$5,11)</f>
        <v>335</v>
      </c>
      <c r="C20" s="13" t="n">
        <f aca="false">IF(11=$B$5,F19+D20,$H$4)</f>
        <v>23619.19</v>
      </c>
      <c r="D20" s="16" t="n">
        <f aca="false">ROUND(F19*$B$4/100*J20/365,2)</f>
        <v>1931.05</v>
      </c>
      <c r="E20" s="18" t="n">
        <f aca="false">C20-D20</f>
        <v>21688.14</v>
      </c>
      <c r="F20" s="13" t="n">
        <f aca="false">F19-E20</f>
        <v>565671.87</v>
      </c>
      <c r="G20" s="19" t="n">
        <f aca="false">ROUND(($B$3+$E$5)/$E$3,2)</f>
        <v>22222.22</v>
      </c>
      <c r="H20" s="19" t="n">
        <f aca="false">H19-G20</f>
        <v>555555.58</v>
      </c>
      <c r="J20" s="21" t="n">
        <f aca="false">B20-B19</f>
        <v>30</v>
      </c>
    </row>
    <row r="21" customFormat="false" ht="15" hidden="false" customHeight="true" outlineLevel="0" collapsed="false">
      <c r="A21" s="3" t="n">
        <v>12</v>
      </c>
      <c r="B21" s="12" t="n">
        <f aca="false">EOMONTH($E$5,12)</f>
        <v>366</v>
      </c>
      <c r="C21" s="13" t="n">
        <f aca="false">IF(12=$B$5,F20+D21,$H$4)</f>
        <v>23619.19</v>
      </c>
      <c r="D21" s="16" t="n">
        <f aca="false">ROUND(F20*$B$4/100*J21/365,2)</f>
        <v>1921.73</v>
      </c>
      <c r="E21" s="18" t="n">
        <f aca="false">C21-D21</f>
        <v>21697.46</v>
      </c>
      <c r="F21" s="13" t="n">
        <f aca="false">F20-E21</f>
        <v>543974.41</v>
      </c>
      <c r="G21" s="19" t="n">
        <f aca="false">ROUND(($B$3+$E$5)/$E$3,2)</f>
        <v>22222.22</v>
      </c>
      <c r="H21" s="19" t="n">
        <f aca="false">H20-G21</f>
        <v>533333.36</v>
      </c>
      <c r="J21" s="21" t="n">
        <f aca="false">B21-B20</f>
        <v>31</v>
      </c>
    </row>
    <row r="22" customFormat="false" ht="15" hidden="false" customHeight="true" outlineLevel="0" collapsed="false">
      <c r="A22" s="3" t="n">
        <v>13</v>
      </c>
      <c r="B22" s="12" t="n">
        <f aca="false">EOMONTH($E$5,13)</f>
        <v>397</v>
      </c>
      <c r="C22" s="13" t="n">
        <f aca="false">IF(13=$B$5,F21+D22,$H$4)</f>
        <v>23619.19</v>
      </c>
      <c r="D22" s="16" t="n">
        <f aca="false">ROUND(F21*$B$4/100*J22/365,2)</f>
        <v>1848.02</v>
      </c>
      <c r="E22" s="18" t="n">
        <f aca="false">C22-D22</f>
        <v>21771.17</v>
      </c>
      <c r="F22" s="13" t="n">
        <f aca="false">F21-E22</f>
        <v>522203.24</v>
      </c>
      <c r="G22" s="19" t="n">
        <f aca="false">ROUND(($B$3+$E$5)/$E$3,2)</f>
        <v>22222.22</v>
      </c>
      <c r="H22" s="19" t="n">
        <f aca="false">H21-G22</f>
        <v>511111.14</v>
      </c>
      <c r="J22" s="21" t="n">
        <f aca="false">B22-B21</f>
        <v>31</v>
      </c>
    </row>
    <row r="23" customFormat="false" ht="15" hidden="false" customHeight="true" outlineLevel="0" collapsed="false">
      <c r="A23" s="3" t="n">
        <v>14</v>
      </c>
      <c r="B23" s="12" t="n">
        <f aca="false">EOMONTH($E$5,14)</f>
        <v>425</v>
      </c>
      <c r="C23" s="13" t="n">
        <f aca="false">IF(14=$B$5,F22+D23,$H$4)</f>
        <v>23619.19</v>
      </c>
      <c r="D23" s="16" t="n">
        <f aca="false">ROUND(F22*$B$4/100*J23/365,2)</f>
        <v>1602.38</v>
      </c>
      <c r="E23" s="18" t="n">
        <f aca="false">C23-D23</f>
        <v>22016.81</v>
      </c>
      <c r="F23" s="13" t="n">
        <f aca="false">F22-E23</f>
        <v>500186.43</v>
      </c>
      <c r="G23" s="19" t="n">
        <f aca="false">ROUND(($B$3+$E$5)/$E$3,2)</f>
        <v>22222.22</v>
      </c>
      <c r="H23" s="19" t="n">
        <f aca="false">H22-G23</f>
        <v>488888.92</v>
      </c>
      <c r="J23" s="21" t="n">
        <f aca="false">B23-B22</f>
        <v>28</v>
      </c>
    </row>
    <row r="24" customFormat="false" ht="15" hidden="false" customHeight="true" outlineLevel="0" collapsed="false">
      <c r="A24" s="3" t="n">
        <v>15</v>
      </c>
      <c r="B24" s="12" t="n">
        <f aca="false">EOMONTH($E$5,15)</f>
        <v>456</v>
      </c>
      <c r="C24" s="13" t="n">
        <f aca="false">IF(15=$B$5,F23+D24,$H$4)</f>
        <v>23619.19</v>
      </c>
      <c r="D24" s="16" t="n">
        <f aca="false">ROUND(F23*$B$4/100*J24/365,2)</f>
        <v>1699.26</v>
      </c>
      <c r="E24" s="18" t="n">
        <f aca="false">C24-D24</f>
        <v>21919.93</v>
      </c>
      <c r="F24" s="13" t="n">
        <f aca="false">F23-E24</f>
        <v>478266.5</v>
      </c>
      <c r="G24" s="19" t="n">
        <f aca="false">ROUND(($B$3+$E$5)/$E$3,2)</f>
        <v>22222.22</v>
      </c>
      <c r="H24" s="19" t="n">
        <f aca="false">H23-G24</f>
        <v>466666.7</v>
      </c>
      <c r="J24" s="21" t="n">
        <f aca="false">B24-B23</f>
        <v>31</v>
      </c>
    </row>
    <row r="25" customFormat="false" ht="15" hidden="false" customHeight="true" outlineLevel="0" collapsed="false">
      <c r="A25" s="3" t="n">
        <v>16</v>
      </c>
      <c r="B25" s="12" t="n">
        <f aca="false">EOMONTH($E$5,16)</f>
        <v>486</v>
      </c>
      <c r="C25" s="13" t="n">
        <f aca="false">IF(16=$B$5,F24+D25,$H$4)</f>
        <v>23619.19</v>
      </c>
      <c r="D25" s="16" t="n">
        <f aca="false">ROUND(F24*$B$4/100*J25/365,2)</f>
        <v>1572.38</v>
      </c>
      <c r="E25" s="18" t="n">
        <f aca="false">C25-D25</f>
        <v>22046.81</v>
      </c>
      <c r="F25" s="13" t="n">
        <f aca="false">F24-E25</f>
        <v>456219.69</v>
      </c>
      <c r="G25" s="19" t="n">
        <f aca="false">ROUND(($B$3+$E$5)/$E$3,2)</f>
        <v>22222.22</v>
      </c>
      <c r="H25" s="19" t="n">
        <f aca="false">H24-G25</f>
        <v>444444.48</v>
      </c>
      <c r="J25" s="21" t="n">
        <f aca="false">B25-B24</f>
        <v>30</v>
      </c>
    </row>
    <row r="26" customFormat="false" ht="15" hidden="false" customHeight="true" outlineLevel="0" collapsed="false">
      <c r="A26" s="3" t="n">
        <v>17</v>
      </c>
      <c r="B26" s="12" t="n">
        <f aca="false">EOMONTH($E$5,17)</f>
        <v>517</v>
      </c>
      <c r="C26" s="13" t="n">
        <f aca="false">IF(17=$B$5,F25+D26,$H$4)</f>
        <v>23619.19</v>
      </c>
      <c r="D26" s="16" t="n">
        <f aca="false">ROUND(F25*$B$4/100*J26/365,2)</f>
        <v>1549.9</v>
      </c>
      <c r="E26" s="18" t="n">
        <f aca="false">C26-D26</f>
        <v>22069.29</v>
      </c>
      <c r="F26" s="13" t="n">
        <f aca="false">F25-E26</f>
        <v>434150.4</v>
      </c>
      <c r="G26" s="19" t="n">
        <f aca="false">ROUND(($B$3+$E$5)/$E$3,2)</f>
        <v>22222.22</v>
      </c>
      <c r="H26" s="19" t="n">
        <f aca="false">H25-G26</f>
        <v>422222.260000001</v>
      </c>
      <c r="J26" s="21" t="n">
        <f aca="false">B26-B25</f>
        <v>31</v>
      </c>
    </row>
    <row r="27" customFormat="false" ht="15" hidden="false" customHeight="true" outlineLevel="0" collapsed="false">
      <c r="A27" s="3" t="n">
        <v>18</v>
      </c>
      <c r="B27" s="12" t="n">
        <f aca="false">EOMONTH($E$5,18)</f>
        <v>547</v>
      </c>
      <c r="C27" s="13" t="n">
        <f aca="false">IF(18=$B$5,F26+D27,$H$4)</f>
        <v>23619.19</v>
      </c>
      <c r="D27" s="16" t="n">
        <f aca="false">ROUND(F26*$B$4/100*J27/365,2)</f>
        <v>1427.34</v>
      </c>
      <c r="E27" s="18" t="n">
        <f aca="false">C27-D27</f>
        <v>22191.85</v>
      </c>
      <c r="F27" s="13" t="n">
        <f aca="false">F26-E27</f>
        <v>411958.55</v>
      </c>
      <c r="G27" s="19" t="n">
        <f aca="false">ROUND(($B$3+$E$5)/$E$3,2)</f>
        <v>22222.22</v>
      </c>
      <c r="H27" s="19" t="n">
        <f aca="false">H26-G27</f>
        <v>400000.040000001</v>
      </c>
      <c r="J27" s="21" t="n">
        <f aca="false">B27-B26</f>
        <v>30</v>
      </c>
    </row>
    <row r="28" customFormat="false" ht="15" hidden="false" customHeight="true" outlineLevel="0" collapsed="false">
      <c r="A28" s="3" t="n">
        <v>19</v>
      </c>
      <c r="B28" s="12" t="n">
        <f aca="false">EOMONTH($E$5,19)</f>
        <v>578</v>
      </c>
      <c r="C28" s="13" t="n">
        <f aca="false">IF(19=$B$5,F27+D28,$H$4)</f>
        <v>23619.19</v>
      </c>
      <c r="D28" s="16" t="n">
        <f aca="false">ROUND(F27*$B$4/100*J28/365,2)</f>
        <v>1399.53</v>
      </c>
      <c r="E28" s="18" t="n">
        <f aca="false">C28-D28</f>
        <v>22219.66</v>
      </c>
      <c r="F28" s="13" t="n">
        <f aca="false">F27-E28</f>
        <v>389738.89</v>
      </c>
      <c r="G28" s="19" t="n">
        <f aca="false">ROUND(($B$3+$E$5)/$E$3,2)</f>
        <v>22222.22</v>
      </c>
      <c r="H28" s="19" t="n">
        <f aca="false">H27-G28</f>
        <v>377777.820000001</v>
      </c>
      <c r="J28" s="21" t="n">
        <f aca="false">B28-B27</f>
        <v>31</v>
      </c>
    </row>
    <row r="29" customFormat="false" ht="15" hidden="false" customHeight="true" outlineLevel="0" collapsed="false">
      <c r="A29" s="3" t="n">
        <v>20</v>
      </c>
      <c r="B29" s="12" t="n">
        <f aca="false">EOMONTH($E$5,20)</f>
        <v>609</v>
      </c>
      <c r="C29" s="13" t="n">
        <f aca="false">IF(20=$B$5,F28+D29,$H$4)</f>
        <v>23619.19</v>
      </c>
      <c r="D29" s="16" t="n">
        <f aca="false">ROUND(F28*$B$4/100*J29/365,2)</f>
        <v>1324.04</v>
      </c>
      <c r="E29" s="18" t="n">
        <f aca="false">C29-D29</f>
        <v>22295.15</v>
      </c>
      <c r="F29" s="13" t="n">
        <f aca="false">F28-E29</f>
        <v>367443.74</v>
      </c>
      <c r="G29" s="19" t="n">
        <f aca="false">ROUND(($B$3+$E$5)/$E$3,2)</f>
        <v>22222.22</v>
      </c>
      <c r="H29" s="19" t="n">
        <f aca="false">H28-G29</f>
        <v>355555.600000001</v>
      </c>
      <c r="J29" s="21" t="n">
        <f aca="false">B29-B28</f>
        <v>31</v>
      </c>
    </row>
    <row r="30" customFormat="false" ht="15" hidden="false" customHeight="true" outlineLevel="0" collapsed="false">
      <c r="A30" s="3" t="n">
        <v>21</v>
      </c>
      <c r="B30" s="12" t="n">
        <f aca="false">EOMONTH($E$5,21)</f>
        <v>639</v>
      </c>
      <c r="C30" s="13" t="n">
        <f aca="false">IF(21=$B$5,F29+D30,$H$4)</f>
        <v>23619.19</v>
      </c>
      <c r="D30" s="16" t="n">
        <f aca="false">ROUND(F29*$B$4/100*J30/365,2)</f>
        <v>1208.03</v>
      </c>
      <c r="E30" s="18" t="n">
        <f aca="false">C30-D30</f>
        <v>22411.16</v>
      </c>
      <c r="F30" s="13" t="n">
        <f aca="false">F29-E30</f>
        <v>345032.58</v>
      </c>
      <c r="G30" s="19" t="n">
        <f aca="false">ROUND(($B$3+$E$5)/$E$3,2)</f>
        <v>22222.22</v>
      </c>
      <c r="H30" s="19" t="n">
        <f aca="false">H29-G30</f>
        <v>333333.380000001</v>
      </c>
      <c r="J30" s="21" t="n">
        <f aca="false">B30-B29</f>
        <v>30</v>
      </c>
    </row>
    <row r="31" customFormat="false" ht="15" hidden="false" customHeight="true" outlineLevel="0" collapsed="false">
      <c r="A31" s="3" t="n">
        <v>22</v>
      </c>
      <c r="B31" s="12" t="n">
        <f aca="false">EOMONTH($E$5,22)</f>
        <v>670</v>
      </c>
      <c r="C31" s="13" t="n">
        <f aca="false">IF(22=$B$5,F30+D31,$H$4)</f>
        <v>23619.19</v>
      </c>
      <c r="D31" s="16" t="n">
        <f aca="false">ROUND(F30*$B$4/100*J31/365,2)</f>
        <v>1172.17</v>
      </c>
      <c r="E31" s="18" t="n">
        <f aca="false">C31-D31</f>
        <v>22447.02</v>
      </c>
      <c r="F31" s="13" t="n">
        <f aca="false">F30-E31</f>
        <v>322585.56</v>
      </c>
      <c r="G31" s="19" t="n">
        <f aca="false">ROUND(($B$3+$E$5)/$E$3,2)</f>
        <v>22222.22</v>
      </c>
      <c r="H31" s="19" t="n">
        <f aca="false">H30-G31</f>
        <v>311111.160000001</v>
      </c>
      <c r="J31" s="21" t="n">
        <f aca="false">B31-B30</f>
        <v>31</v>
      </c>
    </row>
    <row r="32" customFormat="false" ht="15" hidden="false" customHeight="true" outlineLevel="0" collapsed="false">
      <c r="A32" s="3" t="n">
        <v>23</v>
      </c>
      <c r="B32" s="12" t="n">
        <f aca="false">EOMONTH($E$5,23)</f>
        <v>700</v>
      </c>
      <c r="C32" s="13" t="n">
        <f aca="false">IF(23=$B$5,F31+D32,$H$4)</f>
        <v>23619.19</v>
      </c>
      <c r="D32" s="16" t="n">
        <f aca="false">ROUND(F31*$B$4/100*J32/365,2)</f>
        <v>1060.56</v>
      </c>
      <c r="E32" s="18" t="n">
        <f aca="false">C32-D32</f>
        <v>22558.63</v>
      </c>
      <c r="F32" s="13" t="n">
        <f aca="false">F31-E32</f>
        <v>300026.93</v>
      </c>
      <c r="G32" s="19" t="n">
        <f aca="false">ROUND(($B$3+$E$5)/$E$3,2)</f>
        <v>22222.22</v>
      </c>
      <c r="H32" s="19" t="n">
        <f aca="false">H31-G32</f>
        <v>288888.940000001</v>
      </c>
      <c r="J32" s="21" t="n">
        <f aca="false">B32-B31</f>
        <v>30</v>
      </c>
    </row>
    <row r="33" customFormat="false" ht="15" hidden="false" customHeight="true" outlineLevel="0" collapsed="false">
      <c r="A33" s="3" t="n">
        <v>24</v>
      </c>
      <c r="B33" s="12" t="n">
        <f aca="false">EOMONTH($E$5,24)</f>
        <v>731</v>
      </c>
      <c r="C33" s="13" t="n">
        <f aca="false">IF(24=$B$5,F32+D33,$H$4)</f>
        <v>23619.19</v>
      </c>
      <c r="D33" s="16" t="n">
        <f aca="false">ROUND(F32*$B$4/100*J33/365,2)</f>
        <v>1019.27</v>
      </c>
      <c r="E33" s="18" t="n">
        <f aca="false">C33-D33</f>
        <v>22599.92</v>
      </c>
      <c r="F33" s="13" t="n">
        <f aca="false">F32-E33</f>
        <v>277427.01</v>
      </c>
      <c r="G33" s="19" t="n">
        <f aca="false">ROUND(($B$3+$E$5)/$E$3,2)</f>
        <v>22222.22</v>
      </c>
      <c r="H33" s="19" t="n">
        <f aca="false">H32-G33</f>
        <v>266666.720000001</v>
      </c>
      <c r="J33" s="21" t="n">
        <f aca="false">B33-B32</f>
        <v>31</v>
      </c>
    </row>
    <row r="34" customFormat="false" ht="15" hidden="false" customHeight="true" outlineLevel="0" collapsed="false">
      <c r="A34" s="3" t="n">
        <v>25</v>
      </c>
      <c r="B34" s="12" t="n">
        <f aca="false">EOMONTH($E$5,25)</f>
        <v>762</v>
      </c>
      <c r="C34" s="13" t="n">
        <f aca="false">IF(25=$B$5,F33+D34,$H$4)</f>
        <v>23619.19</v>
      </c>
      <c r="D34" s="16" t="n">
        <f aca="false">ROUND(F33*$B$4/100*J34/365,2)</f>
        <v>942.49</v>
      </c>
      <c r="E34" s="18" t="n">
        <f aca="false">C34-D34</f>
        <v>22676.7</v>
      </c>
      <c r="F34" s="13" t="n">
        <f aca="false">F33-E34</f>
        <v>254750.31</v>
      </c>
      <c r="G34" s="19" t="n">
        <f aca="false">ROUND(($B$3+$E$5)/$E$3,2)</f>
        <v>22222.22</v>
      </c>
      <c r="H34" s="19" t="n">
        <f aca="false">H33-G34</f>
        <v>244444.500000001</v>
      </c>
      <c r="J34" s="21" t="n">
        <f aca="false">B34-B33</f>
        <v>31</v>
      </c>
    </row>
    <row r="35" customFormat="false" ht="15" hidden="false" customHeight="true" outlineLevel="0" collapsed="false">
      <c r="A35" s="3" t="n">
        <v>26</v>
      </c>
      <c r="B35" s="12" t="n">
        <f aca="false">EOMONTH($E$5,26)</f>
        <v>790</v>
      </c>
      <c r="C35" s="13" t="n">
        <f aca="false">IF(26=$B$5,F34+D35,$H$4)</f>
        <v>23619.19</v>
      </c>
      <c r="D35" s="16" t="n">
        <f aca="false">ROUND(F34*$B$4/100*J35/365,2)</f>
        <v>781.7</v>
      </c>
      <c r="E35" s="18" t="n">
        <f aca="false">C35-D35</f>
        <v>22837.49</v>
      </c>
      <c r="F35" s="13" t="n">
        <f aca="false">F34-E35</f>
        <v>231912.82</v>
      </c>
      <c r="G35" s="19" t="n">
        <f aca="false">ROUND(($B$3+$E$5)/$E$3,2)</f>
        <v>22222.22</v>
      </c>
      <c r="H35" s="19" t="n">
        <f aca="false">H34-G35</f>
        <v>222222.280000001</v>
      </c>
      <c r="J35" s="21" t="n">
        <f aca="false">B35-B34</f>
        <v>28</v>
      </c>
    </row>
    <row r="36" customFormat="false" ht="15" hidden="false" customHeight="true" outlineLevel="0" collapsed="false">
      <c r="A36" s="3" t="n">
        <v>27</v>
      </c>
      <c r="B36" s="12" t="n">
        <f aca="false">EOMONTH($E$5,27)</f>
        <v>821</v>
      </c>
      <c r="C36" s="13" t="n">
        <f aca="false">IF(27=$B$5,F35+D36,$H$4)</f>
        <v>23619.19</v>
      </c>
      <c r="D36" s="16" t="n">
        <f aca="false">ROUND(F35*$B$4/100*J36/365,2)</f>
        <v>787.87</v>
      </c>
      <c r="E36" s="18" t="n">
        <f aca="false">C36-D36</f>
        <v>22831.32</v>
      </c>
      <c r="F36" s="13" t="n">
        <f aca="false">F35-E36</f>
        <v>209081.5</v>
      </c>
      <c r="G36" s="19" t="n">
        <f aca="false">ROUND(($B$3+$E$5)/$E$3,2)</f>
        <v>22222.22</v>
      </c>
      <c r="H36" s="19" t="n">
        <f aca="false">H35-G36</f>
        <v>200000.060000001</v>
      </c>
      <c r="J36" s="21" t="n">
        <f aca="false">B36-B35</f>
        <v>31</v>
      </c>
    </row>
    <row r="37" customFormat="false" ht="15" hidden="false" customHeight="true" outlineLevel="0" collapsed="false">
      <c r="A37" s="3" t="n">
        <v>28</v>
      </c>
      <c r="B37" s="12" t="n">
        <f aca="false">EOMONTH($E$5,28)</f>
        <v>851</v>
      </c>
      <c r="C37" s="13" t="n">
        <f aca="false">IF(28=$B$5,F36+D37,$H$4)</f>
        <v>23619.19</v>
      </c>
      <c r="D37" s="16" t="n">
        <f aca="false">ROUND(F36*$B$4/100*J37/365,2)</f>
        <v>687.39</v>
      </c>
      <c r="E37" s="18" t="n">
        <f aca="false">C37-D37</f>
        <v>22931.8</v>
      </c>
      <c r="F37" s="13" t="n">
        <f aca="false">F36-E37</f>
        <v>186149.7</v>
      </c>
      <c r="G37" s="19" t="n">
        <f aca="false">ROUND(($B$3+$E$5)/$E$3,2)</f>
        <v>22222.22</v>
      </c>
      <c r="H37" s="19" t="n">
        <f aca="false">H36-G37</f>
        <v>177777.840000001</v>
      </c>
      <c r="J37" s="21" t="n">
        <f aca="false">B37-B36</f>
        <v>30</v>
      </c>
    </row>
    <row r="38" customFormat="false" ht="15" hidden="false" customHeight="true" outlineLevel="0" collapsed="false">
      <c r="A38" s="3" t="n">
        <v>29</v>
      </c>
      <c r="B38" s="12" t="n">
        <f aca="false">EOMONTH($E$5,29)</f>
        <v>882</v>
      </c>
      <c r="C38" s="13" t="n">
        <f aca="false">IF(29=$B$5,F37+D38,$H$4)</f>
        <v>23619.19</v>
      </c>
      <c r="D38" s="16" t="n">
        <f aca="false">ROUND(F37*$B$4/100*J38/365,2)</f>
        <v>632.4</v>
      </c>
      <c r="E38" s="18" t="n">
        <f aca="false">C38-D38</f>
        <v>22986.79</v>
      </c>
      <c r="F38" s="13" t="n">
        <f aca="false">F37-E38</f>
        <v>163162.91</v>
      </c>
      <c r="G38" s="19" t="n">
        <f aca="false">ROUND(($B$3+$E$5)/$E$3,2)</f>
        <v>22222.22</v>
      </c>
      <c r="H38" s="19" t="n">
        <f aca="false">H37-G38</f>
        <v>155555.620000001</v>
      </c>
      <c r="J38" s="21" t="n">
        <f aca="false">B38-B37</f>
        <v>31</v>
      </c>
    </row>
    <row r="39" customFormat="false" ht="15" hidden="false" customHeight="true" outlineLevel="0" collapsed="false">
      <c r="A39" s="3" t="n">
        <v>30</v>
      </c>
      <c r="B39" s="12" t="n">
        <f aca="false">EOMONTH($E$5,30)</f>
        <v>912</v>
      </c>
      <c r="C39" s="13" t="n">
        <f aca="false">IF(30=$B$5,F38+D39,$H$4)</f>
        <v>23619.19</v>
      </c>
      <c r="D39" s="16" t="n">
        <f aca="false">ROUND(F38*$B$4/100*J39/365,2)</f>
        <v>536.43</v>
      </c>
      <c r="E39" s="18" t="n">
        <f aca="false">C39-D39</f>
        <v>23082.76</v>
      </c>
      <c r="F39" s="13" t="n">
        <f aca="false">F38-E39</f>
        <v>140080.15</v>
      </c>
      <c r="G39" s="19" t="n">
        <f aca="false">ROUND(($B$3+$E$5)/$E$3,2)</f>
        <v>22222.22</v>
      </c>
      <c r="H39" s="19" t="n">
        <f aca="false">H38-G39</f>
        <v>133333.400000001</v>
      </c>
      <c r="J39" s="21" t="n">
        <f aca="false">B39-B38</f>
        <v>30</v>
      </c>
    </row>
    <row r="40" customFormat="false" ht="15" hidden="false" customHeight="true" outlineLevel="0" collapsed="false">
      <c r="A40" s="3" t="n">
        <v>31</v>
      </c>
      <c r="B40" s="12" t="n">
        <f aca="false">EOMONTH($E$5,31)</f>
        <v>943</v>
      </c>
      <c r="C40" s="13" t="n">
        <f aca="false">IF(31=$B$5,F39+D40,$H$4)</f>
        <v>23619.19</v>
      </c>
      <c r="D40" s="16" t="n">
        <f aca="false">ROUND(F39*$B$4/100*J40/365,2)</f>
        <v>475.89</v>
      </c>
      <c r="E40" s="18" t="n">
        <f aca="false">C40-D40</f>
        <v>23143.3</v>
      </c>
      <c r="F40" s="13" t="n">
        <f aca="false">F39-E40</f>
        <v>116936.85</v>
      </c>
      <c r="G40" s="19" t="n">
        <f aca="false">ROUND(($B$3+$E$5)/$E$3,2)</f>
        <v>22222.22</v>
      </c>
      <c r="H40" s="19" t="n">
        <f aca="false">H39-G40</f>
        <v>111111.180000001</v>
      </c>
      <c r="J40" s="21" t="n">
        <f aca="false">B40-B39</f>
        <v>31</v>
      </c>
    </row>
    <row r="41" customFormat="false" ht="15" hidden="false" customHeight="true" outlineLevel="0" collapsed="false">
      <c r="A41" s="3" t="n">
        <v>32</v>
      </c>
      <c r="B41" s="12" t="n">
        <f aca="false">EOMONTH($E$5,32)</f>
        <v>974</v>
      </c>
      <c r="C41" s="13" t="n">
        <f aca="false">IF(32=$B$5,F40+D41,$H$4)</f>
        <v>23619.19</v>
      </c>
      <c r="D41" s="16" t="n">
        <f aca="false">ROUND(F40*$B$4/100*J41/365,2)</f>
        <v>397.26</v>
      </c>
      <c r="E41" s="18" t="n">
        <f aca="false">C41-D41</f>
        <v>23221.93</v>
      </c>
      <c r="F41" s="13" t="n">
        <f aca="false">F40-E41</f>
        <v>93714.9200000001</v>
      </c>
      <c r="G41" s="19" t="n">
        <f aca="false">ROUND(($B$3+$E$5)/$E$3,2)</f>
        <v>22222.22</v>
      </c>
      <c r="H41" s="19" t="n">
        <f aca="false">H40-G41</f>
        <v>88888.9600000007</v>
      </c>
      <c r="J41" s="21" t="n">
        <f aca="false">B41-B40</f>
        <v>31</v>
      </c>
    </row>
    <row r="42" customFormat="false" ht="15" hidden="false" customHeight="true" outlineLevel="0" collapsed="false">
      <c r="A42" s="3" t="n">
        <v>33</v>
      </c>
      <c r="B42" s="12" t="n">
        <f aca="false">EOMONTH($E$5,33)</f>
        <v>1004</v>
      </c>
      <c r="C42" s="13" t="n">
        <f aca="false">IF(33=$B$5,F41+D42,$H$4)</f>
        <v>23619.19</v>
      </c>
      <c r="D42" s="16" t="n">
        <f aca="false">ROUND(F41*$B$4/100*J42/365,2)</f>
        <v>308.1</v>
      </c>
      <c r="E42" s="18" t="n">
        <f aca="false">C42-D42</f>
        <v>23311.09</v>
      </c>
      <c r="F42" s="13" t="n">
        <f aca="false">F41-E42</f>
        <v>70403.8300000001</v>
      </c>
      <c r="G42" s="19" t="n">
        <f aca="false">ROUND(($B$3+$E$5)/$E$3,2)</f>
        <v>22222.22</v>
      </c>
      <c r="H42" s="19" t="n">
        <f aca="false">H41-G42</f>
        <v>66666.7400000007</v>
      </c>
      <c r="J42" s="21" t="n">
        <f aca="false">B42-B41</f>
        <v>30</v>
      </c>
    </row>
    <row r="43" customFormat="false" ht="15" hidden="false" customHeight="true" outlineLevel="0" collapsed="false">
      <c r="A43" s="3" t="n">
        <v>34</v>
      </c>
      <c r="B43" s="12" t="n">
        <f aca="false">EOMONTH($E$5,34)</f>
        <v>1035</v>
      </c>
      <c r="C43" s="13" t="n">
        <f aca="false">IF(34=$B$5,F42+D43,$H$4)</f>
        <v>23619.19</v>
      </c>
      <c r="D43" s="16" t="n">
        <f aca="false">ROUND(F42*$B$4/100*J43/365,2)</f>
        <v>239.18</v>
      </c>
      <c r="E43" s="18" t="n">
        <f aca="false">C43-D43</f>
        <v>23380.01</v>
      </c>
      <c r="F43" s="13" t="n">
        <f aca="false">F42-E43</f>
        <v>47023.8200000001</v>
      </c>
      <c r="G43" s="19" t="n">
        <f aca="false">ROUND(($B$3+$E$5)/$E$3,2)</f>
        <v>22222.22</v>
      </c>
      <c r="H43" s="19" t="n">
        <f aca="false">H42-G43</f>
        <v>44444.5200000007</v>
      </c>
      <c r="J43" s="21" t="n">
        <f aca="false">B43-B42</f>
        <v>31</v>
      </c>
    </row>
    <row r="44" customFormat="false" ht="15" hidden="false" customHeight="true" outlineLevel="0" collapsed="false">
      <c r="A44" s="3" t="n">
        <v>35</v>
      </c>
      <c r="B44" s="12" t="n">
        <f aca="false">EOMONTH($E$5,35)</f>
        <v>1065</v>
      </c>
      <c r="C44" s="13" t="n">
        <f aca="false">IF(35=$B$5,F43+D44,$H$4)</f>
        <v>23619.19</v>
      </c>
      <c r="D44" s="16" t="n">
        <f aca="false">ROUND(F43*$B$4/100*J44/365,2)</f>
        <v>154.6</v>
      </c>
      <c r="E44" s="18" t="n">
        <f aca="false">C44-D44</f>
        <v>23464.59</v>
      </c>
      <c r="F44" s="13" t="n">
        <f aca="false">F43-E44</f>
        <v>23559.2300000001</v>
      </c>
      <c r="G44" s="19" t="n">
        <f aca="false">ROUND(($B$3+$E$5)/$E$3,2)</f>
        <v>22222.22</v>
      </c>
      <c r="H44" s="19" t="n">
        <f aca="false">H43-G44</f>
        <v>22222.3000000007</v>
      </c>
      <c r="J44" s="21" t="n">
        <f aca="false">B44-B43</f>
        <v>30</v>
      </c>
    </row>
    <row r="45" customFormat="false" ht="15" hidden="false" customHeight="true" outlineLevel="0" collapsed="false">
      <c r="A45" s="3" t="n">
        <v>36</v>
      </c>
      <c r="B45" s="12" t="n">
        <f aca="false">EOMONTH($E$5,36)</f>
        <v>1096</v>
      </c>
      <c r="C45" s="13" t="n">
        <f aca="false">IF(36=$B$5,F44+D45,$H$4)</f>
        <v>23639.2700000001</v>
      </c>
      <c r="D45" s="16" t="n">
        <f aca="false">ROUND(F44*$B$4/100*J45/365,2)</f>
        <v>80.04</v>
      </c>
      <c r="E45" s="18" t="n">
        <f aca="false">C45-D45</f>
        <v>23559.2300000001</v>
      </c>
      <c r="F45" s="13" t="n">
        <f aca="false">F44-E45</f>
        <v>0</v>
      </c>
      <c r="G45" s="19" t="n">
        <f aca="false">ROUND(($B$3+$E$5)/$E$3,2)</f>
        <v>22222.22</v>
      </c>
      <c r="H45" s="19" t="n">
        <f aca="false">H44-G45</f>
        <v>0.0800000006565824</v>
      </c>
      <c r="J45" s="21" t="n">
        <f aca="false">B45-B44</f>
        <v>31</v>
      </c>
    </row>
  </sheetData>
  <mergeCells count="1">
    <mergeCell ref="A1: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0"/>
    <col collapsed="false" customWidth="true" hidden="false" outlineLevel="0" max="3" min="3" style="1" width="16"/>
    <col collapsed="false" customWidth="true" hidden="false" outlineLevel="0" max="4" min="4" style="1" width="64"/>
  </cols>
  <sheetData>
    <row r="1" customFormat="false" ht="15.75" hidden="false" customHeight="true" outlineLevel="0" collapsed="false">
      <c r="A1" s="2" t="s">
        <v>49</v>
      </c>
      <c r="B1" s="2"/>
      <c r="C1" s="2"/>
    </row>
    <row r="3" customFormat="false" ht="15" hidden="false" customHeight="true" outlineLevel="0" collapsed="false">
      <c r="A3" s="22" t="s">
        <v>50</v>
      </c>
      <c r="D3" s="23" t="s">
        <v>51</v>
      </c>
    </row>
    <row r="4" customFormat="false" ht="21.75" hidden="false" customHeight="true" outlineLevel="0" collapsed="false">
      <c r="A4" s="3" t="s">
        <v>26</v>
      </c>
      <c r="C4" s="13" t="n">
        <f aca="false">SUM(Leasing!E10:E21)</f>
        <v>256025.59</v>
      </c>
      <c r="D4" s="24" t="s">
        <v>52</v>
      </c>
    </row>
    <row r="5" customFormat="false" ht="15" hidden="false" customHeight="true" outlineLevel="0" collapsed="false">
      <c r="A5" s="3" t="s">
        <v>28</v>
      </c>
      <c r="C5" s="13" t="n">
        <f aca="false">SUM(Leasing!E22:E45)</f>
        <v>543974.41</v>
      </c>
      <c r="D5" s="24" t="s">
        <v>53</v>
      </c>
    </row>
    <row r="6" customFormat="false" ht="15" hidden="false" customHeight="true" outlineLevel="0" collapsed="false">
      <c r="A6" s="8" t="s">
        <v>30</v>
      </c>
      <c r="C6" s="9" t="n">
        <f aca="false">Leasing!$B$3</f>
        <v>800000</v>
      </c>
      <c r="D6" s="24" t="s">
        <v>54</v>
      </c>
    </row>
    <row r="8" customFormat="false" ht="15" hidden="false" customHeight="true" outlineLevel="0" collapsed="false">
      <c r="A8" s="22" t="s">
        <v>32</v>
      </c>
      <c r="D8" s="23" t="s">
        <v>33</v>
      </c>
    </row>
    <row r="9" customFormat="false" ht="15" hidden="false" customHeight="true" outlineLevel="0" collapsed="false">
      <c r="A9" s="3" t="s">
        <v>34</v>
      </c>
      <c r="C9" s="13" t="n">
        <f aca="false">SUMPRODUCT((Leasing!A10:A45&lt;=12)*(Leasing!E10:E45+Leasing!D10:D45))</f>
        <v>283430.28</v>
      </c>
      <c r="D9" s="24" t="s">
        <v>55</v>
      </c>
    </row>
    <row r="10" customFormat="false" ht="15" hidden="false" customHeight="true" outlineLevel="0" collapsed="false">
      <c r="A10" s="3" t="s">
        <v>36</v>
      </c>
      <c r="C10" s="13" t="n">
        <f aca="false">SUMPRODUCT((Leasing!A10:A45&gt;12)*(Leasing!A10:A45&lt;=60)*(Leasing!E10:E45+Leasing!D10:D45))</f>
        <v>566880.64</v>
      </c>
      <c r="D10" s="24" t="s">
        <v>56</v>
      </c>
    </row>
    <row r="11" customFormat="false" ht="15" hidden="false" customHeight="true" outlineLevel="0" collapsed="false">
      <c r="A11" s="3" t="s">
        <v>38</v>
      </c>
      <c r="C11" s="13" t="n">
        <f aca="false">SUMPRODUCT((Leasing!A10:A45&gt;60)*(Leasing!E10:E45+Leasing!D10:D45))</f>
        <v>0</v>
      </c>
      <c r="D11" s="24" t="s">
        <v>57</v>
      </c>
    </row>
    <row r="12" customFormat="false" ht="21.75" hidden="false" customHeight="true" outlineLevel="0" collapsed="false">
      <c r="A12" s="8" t="s">
        <v>40</v>
      </c>
      <c r="C12" s="9" t="n">
        <f aca="false">Leasing!$B$3+Leasing!$H$5</f>
        <v>850310.92</v>
      </c>
      <c r="D12" s="24" t="s">
        <v>41</v>
      </c>
    </row>
    <row r="14" customFormat="false" ht="15" hidden="false" customHeight="true" outlineLevel="0" collapsed="false">
      <c r="A14" s="22" t="s">
        <v>58</v>
      </c>
    </row>
  </sheetData>
  <mergeCells count="1">
    <mergeCell ref="A1:C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6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12"/>
    <col collapsed="false" customWidth="true" hidden="false" outlineLevel="0" max="3" min="3" style="1" width="13"/>
    <col collapsed="false" customWidth="true" hidden="false" outlineLevel="0" max="4" min="4" style="1" width="12"/>
    <col collapsed="false" customWidth="true" hidden="false" outlineLevel="0" max="6" min="5" style="1" width="16"/>
    <col collapsed="false" customWidth="true" hidden="false" outlineLevel="0" max="8" min="7" style="1" width="13"/>
    <col collapsed="false" customWidth="true" hidden="false" outlineLevel="0" max="10" min="10" style="1" width="5"/>
  </cols>
  <sheetData>
    <row r="1" customFormat="false" ht="15" hidden="false" customHeight="true" outlineLevel="0" collapsed="false">
      <c r="A1" s="2" t="s">
        <v>59</v>
      </c>
      <c r="B1" s="2"/>
      <c r="C1" s="2"/>
      <c r="D1" s="2"/>
      <c r="E1" s="2"/>
      <c r="F1" s="2"/>
      <c r="G1" s="2"/>
      <c r="H1" s="2"/>
    </row>
    <row r="3" customFormat="false" ht="15" hidden="false" customHeight="true" outlineLevel="0" collapsed="false">
      <c r="A3" s="3" t="s">
        <v>44</v>
      </c>
      <c r="B3" s="4" t="n">
        <v>900000</v>
      </c>
      <c r="D3" s="3" t="s">
        <v>3</v>
      </c>
      <c r="E3" s="5" t="n">
        <v>60</v>
      </c>
    </row>
    <row r="4" customFormat="false" ht="15" hidden="false" customHeight="true" outlineLevel="0" collapsed="false">
      <c r="A4" s="3" t="s">
        <v>4</v>
      </c>
      <c r="B4" s="6" t="n">
        <v>3.5</v>
      </c>
      <c r="D4" s="3" t="s">
        <v>8</v>
      </c>
      <c r="E4" s="10" t="n">
        <v>46295</v>
      </c>
      <c r="G4" s="8" t="s">
        <v>45</v>
      </c>
      <c r="H4" s="9" t="n">
        <f aca="false">ROUND(-PMT($B$4/100/12,$B$5,$B$3),2)</f>
        <v>16372.57</v>
      </c>
    </row>
    <row r="5" customFormat="false" ht="15" hidden="false" customHeight="true" outlineLevel="0" collapsed="false">
      <c r="A5" s="3" t="s">
        <v>7</v>
      </c>
      <c r="B5" s="5" t="n">
        <v>60</v>
      </c>
      <c r="D5" s="3" t="s">
        <v>46</v>
      </c>
      <c r="E5" s="7" t="n">
        <v>50000</v>
      </c>
      <c r="G5" s="8" t="s">
        <v>6</v>
      </c>
      <c r="H5" s="9" t="n">
        <f aca="false">SUM(D10:D69)</f>
        <v>83290.65</v>
      </c>
    </row>
    <row r="9" customFormat="false" ht="23.25" hidden="false" customHeight="true" outlineLevel="0" collapsed="false">
      <c r="A9" s="11" t="s">
        <v>10</v>
      </c>
      <c r="B9" s="11" t="s">
        <v>11</v>
      </c>
      <c r="C9" s="11" t="s">
        <v>12</v>
      </c>
      <c r="D9" s="11" t="s">
        <v>15</v>
      </c>
      <c r="E9" s="11" t="s">
        <v>47</v>
      </c>
      <c r="F9" s="11" t="s">
        <v>48</v>
      </c>
      <c r="G9" s="11" t="s">
        <v>19</v>
      </c>
      <c r="H9" s="11" t="s">
        <v>20</v>
      </c>
    </row>
    <row r="10" customFormat="false" ht="15" hidden="false" customHeight="true" outlineLevel="0" collapsed="false">
      <c r="A10" s="3" t="n">
        <v>1</v>
      </c>
      <c r="B10" s="12" t="n">
        <f aca="false">EOMONTH($E$5,1)</f>
        <v>50040</v>
      </c>
      <c r="C10" s="13" t="n">
        <f aca="false">IF(1=$B$5,F9+D10,$H$4)</f>
        <v>16372.57</v>
      </c>
      <c r="D10" s="16" t="n">
        <f aca="false">ROUND($B$3*$B$4/100*J10/365,2)</f>
        <v>3452.05</v>
      </c>
      <c r="E10" s="18" t="n">
        <f aca="false">C10-D10</f>
        <v>12920.52</v>
      </c>
      <c r="F10" s="13" t="n">
        <f aca="false">$B$3-E10</f>
        <v>887079.48</v>
      </c>
      <c r="G10" s="19" t="n">
        <f aca="false">ROUND(($B$3+$E$5)/$E$3,2)</f>
        <v>15833.33</v>
      </c>
      <c r="H10" s="19" t="n">
        <f aca="false">($B$3+$E$5)-G10</f>
        <v>934166.67</v>
      </c>
      <c r="J10" s="25" t="n">
        <f aca="false">B10-$E$5</f>
        <v>40</v>
      </c>
    </row>
    <row r="11" customFormat="false" ht="15" hidden="false" customHeight="true" outlineLevel="0" collapsed="false">
      <c r="A11" s="3" t="n">
        <v>2</v>
      </c>
      <c r="B11" s="12" t="n">
        <f aca="false">EOMONTH($E$5,2)</f>
        <v>50071</v>
      </c>
      <c r="C11" s="13" t="n">
        <f aca="false">IF(2=$B$5,F10+D11,$H$4)</f>
        <v>16372.57</v>
      </c>
      <c r="D11" s="16" t="n">
        <f aca="false">ROUND(F10*$B$4/100*J11/365,2)</f>
        <v>2636.93</v>
      </c>
      <c r="E11" s="18" t="n">
        <f aca="false">C11-D11</f>
        <v>13735.64</v>
      </c>
      <c r="F11" s="13" t="n">
        <f aca="false">F10-E11</f>
        <v>873343.84</v>
      </c>
      <c r="G11" s="19" t="n">
        <f aca="false">ROUND(($B$3+$E$5)/$E$3,2)</f>
        <v>15833.33</v>
      </c>
      <c r="H11" s="19" t="n">
        <f aca="false">H10-G11</f>
        <v>918333.34</v>
      </c>
      <c r="J11" s="21" t="n">
        <f aca="false">B11-B10</f>
        <v>31</v>
      </c>
    </row>
    <row r="12" customFormat="false" ht="15" hidden="false" customHeight="true" outlineLevel="0" collapsed="false">
      <c r="A12" s="3" t="n">
        <v>3</v>
      </c>
      <c r="B12" s="12" t="n">
        <f aca="false">EOMONTH($E$5,3)</f>
        <v>50099</v>
      </c>
      <c r="C12" s="13" t="n">
        <f aca="false">IF(3=$B$5,F11+D12,$H$4)</f>
        <v>16372.57</v>
      </c>
      <c r="D12" s="16" t="n">
        <f aca="false">ROUND(F11*$B$4/100*J12/365,2)</f>
        <v>2344.87</v>
      </c>
      <c r="E12" s="18" t="n">
        <f aca="false">C12-D12</f>
        <v>14027.7</v>
      </c>
      <c r="F12" s="13" t="n">
        <f aca="false">F11-E12</f>
        <v>859316.14</v>
      </c>
      <c r="G12" s="19" t="n">
        <f aca="false">ROUND(($B$3+$E$5)/$E$3,2)</f>
        <v>15833.33</v>
      </c>
      <c r="H12" s="19" t="n">
        <f aca="false">H11-G12</f>
        <v>902500.01</v>
      </c>
      <c r="J12" s="21" t="n">
        <f aca="false">B12-B11</f>
        <v>28</v>
      </c>
    </row>
    <row r="13" customFormat="false" ht="15" hidden="false" customHeight="true" outlineLevel="0" collapsed="false">
      <c r="A13" s="3" t="n">
        <v>4</v>
      </c>
      <c r="B13" s="12" t="n">
        <f aca="false">EOMONTH($E$5,4)</f>
        <v>50130</v>
      </c>
      <c r="C13" s="13" t="n">
        <f aca="false">IF(4=$B$5,F12+D13,$H$4)</f>
        <v>16372.57</v>
      </c>
      <c r="D13" s="16" t="n">
        <f aca="false">ROUND(F12*$B$4/100*J13/365,2)</f>
        <v>2554.41</v>
      </c>
      <c r="E13" s="18" t="n">
        <f aca="false">C13-D13</f>
        <v>13818.16</v>
      </c>
      <c r="F13" s="13" t="n">
        <f aca="false">F12-E13</f>
        <v>845497.98</v>
      </c>
      <c r="G13" s="19" t="n">
        <f aca="false">ROUND(($B$3+$E$5)/$E$3,2)</f>
        <v>15833.33</v>
      </c>
      <c r="H13" s="19" t="n">
        <f aca="false">H12-G13</f>
        <v>886666.68</v>
      </c>
      <c r="J13" s="21" t="n">
        <f aca="false">B13-B12</f>
        <v>31</v>
      </c>
    </row>
    <row r="14" customFormat="false" ht="15" hidden="false" customHeight="true" outlineLevel="0" collapsed="false">
      <c r="A14" s="3" t="n">
        <v>5</v>
      </c>
      <c r="B14" s="12" t="n">
        <f aca="false">EOMONTH($E$5,5)</f>
        <v>50160</v>
      </c>
      <c r="C14" s="13" t="n">
        <f aca="false">IF(5=$B$5,F13+D14,$H$4)</f>
        <v>16372.57</v>
      </c>
      <c r="D14" s="16" t="n">
        <f aca="false">ROUND(F13*$B$4/100*J14/365,2)</f>
        <v>2432.25</v>
      </c>
      <c r="E14" s="18" t="n">
        <f aca="false">C14-D14</f>
        <v>13940.32</v>
      </c>
      <c r="F14" s="13" t="n">
        <f aca="false">F13-E14</f>
        <v>831557.66</v>
      </c>
      <c r="G14" s="19" t="n">
        <f aca="false">ROUND(($B$3+$E$5)/$E$3,2)</f>
        <v>15833.33</v>
      </c>
      <c r="H14" s="19" t="n">
        <f aca="false">H13-G14</f>
        <v>870833.35</v>
      </c>
      <c r="J14" s="21" t="n">
        <f aca="false">B14-B13</f>
        <v>30</v>
      </c>
    </row>
    <row r="15" customFormat="false" ht="15" hidden="false" customHeight="true" outlineLevel="0" collapsed="false">
      <c r="A15" s="3" t="n">
        <v>6</v>
      </c>
      <c r="B15" s="12" t="n">
        <f aca="false">EOMONTH($E$5,6)</f>
        <v>50191</v>
      </c>
      <c r="C15" s="13" t="n">
        <f aca="false">IF(6=$B$5,F14+D15,$H$4)</f>
        <v>16372.57</v>
      </c>
      <c r="D15" s="16" t="n">
        <f aca="false">ROUND(F14*$B$4/100*J15/365,2)</f>
        <v>2471.89</v>
      </c>
      <c r="E15" s="18" t="n">
        <f aca="false">C15-D15</f>
        <v>13900.68</v>
      </c>
      <c r="F15" s="13" t="n">
        <f aca="false">F14-E15</f>
        <v>817656.98</v>
      </c>
      <c r="G15" s="19" t="n">
        <f aca="false">ROUND(($B$3+$E$5)/$E$3,2)</f>
        <v>15833.33</v>
      </c>
      <c r="H15" s="19" t="n">
        <f aca="false">H14-G15</f>
        <v>855000.02</v>
      </c>
      <c r="J15" s="21" t="n">
        <f aca="false">B15-B14</f>
        <v>31</v>
      </c>
    </row>
    <row r="16" customFormat="false" ht="15" hidden="false" customHeight="true" outlineLevel="0" collapsed="false">
      <c r="A16" s="3" t="n">
        <v>7</v>
      </c>
      <c r="B16" s="12" t="n">
        <f aca="false">EOMONTH($E$5,7)</f>
        <v>50221</v>
      </c>
      <c r="C16" s="13" t="n">
        <f aca="false">IF(7=$B$5,F15+D16,$H$4)</f>
        <v>16372.57</v>
      </c>
      <c r="D16" s="16" t="n">
        <f aca="false">ROUND(F15*$B$4/100*J16/365,2)</f>
        <v>2352.16</v>
      </c>
      <c r="E16" s="18" t="n">
        <f aca="false">C16-D16</f>
        <v>14020.41</v>
      </c>
      <c r="F16" s="13" t="n">
        <f aca="false">F15-E16</f>
        <v>803636.57</v>
      </c>
      <c r="G16" s="19" t="n">
        <f aca="false">ROUND(($B$3+$E$5)/$E$3,2)</f>
        <v>15833.33</v>
      </c>
      <c r="H16" s="19" t="n">
        <f aca="false">H15-G16</f>
        <v>839166.69</v>
      </c>
      <c r="J16" s="21" t="n">
        <f aca="false">B16-B15</f>
        <v>30</v>
      </c>
    </row>
    <row r="17" customFormat="false" ht="15" hidden="false" customHeight="true" outlineLevel="0" collapsed="false">
      <c r="A17" s="3" t="n">
        <v>8</v>
      </c>
      <c r="B17" s="12" t="n">
        <f aca="false">EOMONTH($E$5,8)</f>
        <v>50252</v>
      </c>
      <c r="C17" s="13" t="n">
        <f aca="false">IF(8=$B$5,F16+D17,$H$4)</f>
        <v>16372.57</v>
      </c>
      <c r="D17" s="16" t="n">
        <f aca="false">ROUND(F16*$B$4/100*J17/365,2)</f>
        <v>2388.89</v>
      </c>
      <c r="E17" s="18" t="n">
        <f aca="false">C17-D17</f>
        <v>13983.68</v>
      </c>
      <c r="F17" s="13" t="n">
        <f aca="false">F16-E17</f>
        <v>789652.89</v>
      </c>
      <c r="G17" s="19" t="n">
        <f aca="false">ROUND(($B$3+$E$5)/$E$3,2)</f>
        <v>15833.33</v>
      </c>
      <c r="H17" s="19" t="n">
        <f aca="false">H16-G17</f>
        <v>823333.36</v>
      </c>
      <c r="J17" s="21" t="n">
        <f aca="false">B17-B16</f>
        <v>31</v>
      </c>
    </row>
    <row r="18" customFormat="false" ht="15" hidden="false" customHeight="true" outlineLevel="0" collapsed="false">
      <c r="A18" s="3" t="n">
        <v>9</v>
      </c>
      <c r="B18" s="12" t="n">
        <f aca="false">EOMONTH($E$5,9)</f>
        <v>50283</v>
      </c>
      <c r="C18" s="13" t="n">
        <f aca="false">IF(9=$B$5,F17+D18,$H$4)</f>
        <v>16372.57</v>
      </c>
      <c r="D18" s="16" t="n">
        <f aca="false">ROUND(F17*$B$4/100*J18/365,2)</f>
        <v>2347.32</v>
      </c>
      <c r="E18" s="18" t="n">
        <f aca="false">C18-D18</f>
        <v>14025.25</v>
      </c>
      <c r="F18" s="13" t="n">
        <f aca="false">F17-E18</f>
        <v>775627.64</v>
      </c>
      <c r="G18" s="19" t="n">
        <f aca="false">ROUND(($B$3+$E$5)/$E$3,2)</f>
        <v>15833.33</v>
      </c>
      <c r="H18" s="19" t="n">
        <f aca="false">H17-G18</f>
        <v>807500.03</v>
      </c>
      <c r="J18" s="21" t="n">
        <f aca="false">B18-B17</f>
        <v>31</v>
      </c>
    </row>
    <row r="19" customFormat="false" ht="15" hidden="false" customHeight="true" outlineLevel="0" collapsed="false">
      <c r="A19" s="3" t="n">
        <v>10</v>
      </c>
      <c r="B19" s="12" t="n">
        <f aca="false">EOMONTH($E$5,10)</f>
        <v>50313</v>
      </c>
      <c r="C19" s="13" t="n">
        <f aca="false">IF(10=$B$5,F18+D19,$H$4)</f>
        <v>16372.57</v>
      </c>
      <c r="D19" s="16" t="n">
        <f aca="false">ROUND(F18*$B$4/100*J19/365,2)</f>
        <v>2231.26</v>
      </c>
      <c r="E19" s="18" t="n">
        <f aca="false">C19-D19</f>
        <v>14141.31</v>
      </c>
      <c r="F19" s="13" t="n">
        <f aca="false">F18-E19</f>
        <v>761486.33</v>
      </c>
      <c r="G19" s="19" t="n">
        <f aca="false">ROUND(($B$3+$E$5)/$E$3,2)</f>
        <v>15833.33</v>
      </c>
      <c r="H19" s="19" t="n">
        <f aca="false">H18-G19</f>
        <v>791666.7</v>
      </c>
      <c r="J19" s="21" t="n">
        <f aca="false">B19-B18</f>
        <v>30</v>
      </c>
    </row>
    <row r="20" customFormat="false" ht="15" hidden="false" customHeight="true" outlineLevel="0" collapsed="false">
      <c r="A20" s="3" t="n">
        <v>11</v>
      </c>
      <c r="B20" s="12" t="n">
        <f aca="false">EOMONTH($E$5,11)</f>
        <v>50344</v>
      </c>
      <c r="C20" s="13" t="n">
        <f aca="false">IF(11=$B$5,F19+D20,$H$4)</f>
        <v>16372.57</v>
      </c>
      <c r="D20" s="16" t="n">
        <f aca="false">ROUND(F19*$B$4/100*J20/365,2)</f>
        <v>2263.6</v>
      </c>
      <c r="E20" s="18" t="n">
        <f aca="false">C20-D20</f>
        <v>14108.97</v>
      </c>
      <c r="F20" s="13" t="n">
        <f aca="false">F19-E20</f>
        <v>747377.36</v>
      </c>
      <c r="G20" s="19" t="n">
        <f aca="false">ROUND(($B$3+$E$5)/$E$3,2)</f>
        <v>15833.33</v>
      </c>
      <c r="H20" s="19" t="n">
        <f aca="false">H19-G20</f>
        <v>775833.370000001</v>
      </c>
      <c r="J20" s="21" t="n">
        <f aca="false">B20-B19</f>
        <v>31</v>
      </c>
    </row>
    <row r="21" customFormat="false" ht="15" hidden="false" customHeight="true" outlineLevel="0" collapsed="false">
      <c r="A21" s="3" t="n">
        <v>12</v>
      </c>
      <c r="B21" s="12" t="n">
        <f aca="false">EOMONTH($E$5,12)</f>
        <v>50374</v>
      </c>
      <c r="C21" s="13" t="n">
        <f aca="false">IF(12=$B$5,F20+D21,$H$4)</f>
        <v>16372.57</v>
      </c>
      <c r="D21" s="16" t="n">
        <f aca="false">ROUND(F20*$B$4/100*J21/365,2)</f>
        <v>2149.99</v>
      </c>
      <c r="E21" s="18" t="n">
        <f aca="false">C21-D21</f>
        <v>14222.58</v>
      </c>
      <c r="F21" s="13" t="n">
        <f aca="false">F20-E21</f>
        <v>733154.78</v>
      </c>
      <c r="G21" s="19" t="n">
        <f aca="false">ROUND(($B$3+$E$5)/$E$3,2)</f>
        <v>15833.33</v>
      </c>
      <c r="H21" s="19" t="n">
        <f aca="false">H20-G21</f>
        <v>760000.040000001</v>
      </c>
      <c r="J21" s="21" t="n">
        <f aca="false">B21-B20</f>
        <v>30</v>
      </c>
    </row>
    <row r="22" customFormat="false" ht="15" hidden="false" customHeight="true" outlineLevel="0" collapsed="false">
      <c r="A22" s="3" t="n">
        <v>13</v>
      </c>
      <c r="B22" s="12" t="n">
        <f aca="false">EOMONTH($E$5,13)</f>
        <v>50405</v>
      </c>
      <c r="C22" s="13" t="n">
        <f aca="false">IF(13=$B$5,F21+D22,$H$4)</f>
        <v>16372.57</v>
      </c>
      <c r="D22" s="16" t="n">
        <f aca="false">ROUND(F21*$B$4/100*J22/365,2)</f>
        <v>2179.38</v>
      </c>
      <c r="E22" s="18" t="n">
        <f aca="false">C22-D22</f>
        <v>14193.19</v>
      </c>
      <c r="F22" s="13" t="n">
        <f aca="false">F21-E22</f>
        <v>718961.59</v>
      </c>
      <c r="G22" s="19" t="n">
        <f aca="false">ROUND(($B$3+$E$5)/$E$3,2)</f>
        <v>15833.33</v>
      </c>
      <c r="H22" s="19" t="n">
        <f aca="false">H21-G22</f>
        <v>744166.710000001</v>
      </c>
      <c r="J22" s="21" t="n">
        <f aca="false">B22-B21</f>
        <v>31</v>
      </c>
    </row>
    <row r="23" customFormat="false" ht="15" hidden="false" customHeight="true" outlineLevel="0" collapsed="false">
      <c r="A23" s="3" t="n">
        <v>14</v>
      </c>
      <c r="B23" s="12" t="n">
        <f aca="false">EOMONTH($E$5,14)</f>
        <v>50436</v>
      </c>
      <c r="C23" s="13" t="n">
        <f aca="false">IF(14=$B$5,F22+D23,$H$4)</f>
        <v>16372.57</v>
      </c>
      <c r="D23" s="16" t="n">
        <f aca="false">ROUND(F22*$B$4/100*J23/365,2)</f>
        <v>2137.19</v>
      </c>
      <c r="E23" s="18" t="n">
        <f aca="false">C23-D23</f>
        <v>14235.38</v>
      </c>
      <c r="F23" s="13" t="n">
        <f aca="false">F22-E23</f>
        <v>704726.21</v>
      </c>
      <c r="G23" s="19" t="n">
        <f aca="false">ROUND(($B$3+$E$5)/$E$3,2)</f>
        <v>15833.33</v>
      </c>
      <c r="H23" s="19" t="n">
        <f aca="false">H22-G23</f>
        <v>728333.380000001</v>
      </c>
      <c r="J23" s="21" t="n">
        <f aca="false">B23-B22</f>
        <v>31</v>
      </c>
    </row>
    <row r="24" customFormat="false" ht="15" hidden="false" customHeight="true" outlineLevel="0" collapsed="false">
      <c r="A24" s="3" t="n">
        <v>15</v>
      </c>
      <c r="B24" s="12" t="n">
        <f aca="false">EOMONTH($E$5,15)</f>
        <v>50464</v>
      </c>
      <c r="C24" s="13" t="n">
        <f aca="false">IF(15=$B$5,F23+D24,$H$4)</f>
        <v>16372.57</v>
      </c>
      <c r="D24" s="16" t="n">
        <f aca="false">ROUND(F23*$B$4/100*J24/365,2)</f>
        <v>1892.14</v>
      </c>
      <c r="E24" s="18" t="n">
        <f aca="false">C24-D24</f>
        <v>14480.43</v>
      </c>
      <c r="F24" s="13" t="n">
        <f aca="false">F23-E24</f>
        <v>690245.78</v>
      </c>
      <c r="G24" s="19" t="n">
        <f aca="false">ROUND(($B$3+$E$5)/$E$3,2)</f>
        <v>15833.33</v>
      </c>
      <c r="H24" s="19" t="n">
        <f aca="false">H23-G24</f>
        <v>712500.050000001</v>
      </c>
      <c r="J24" s="21" t="n">
        <f aca="false">B24-B23</f>
        <v>28</v>
      </c>
    </row>
    <row r="25" customFormat="false" ht="15" hidden="false" customHeight="true" outlineLevel="0" collapsed="false">
      <c r="A25" s="3" t="n">
        <v>16</v>
      </c>
      <c r="B25" s="12" t="n">
        <f aca="false">EOMONTH($E$5,16)</f>
        <v>50495</v>
      </c>
      <c r="C25" s="13" t="n">
        <f aca="false">IF(16=$B$5,F24+D25,$H$4)</f>
        <v>16372.57</v>
      </c>
      <c r="D25" s="16" t="n">
        <f aca="false">ROUND(F24*$B$4/100*J25/365,2)</f>
        <v>2051.83</v>
      </c>
      <c r="E25" s="18" t="n">
        <f aca="false">C25-D25</f>
        <v>14320.74</v>
      </c>
      <c r="F25" s="13" t="n">
        <f aca="false">F24-E25</f>
        <v>675925.04</v>
      </c>
      <c r="G25" s="19" t="n">
        <f aca="false">ROUND(($B$3+$E$5)/$E$3,2)</f>
        <v>15833.33</v>
      </c>
      <c r="H25" s="19" t="n">
        <f aca="false">H24-G25</f>
        <v>696666.720000001</v>
      </c>
      <c r="J25" s="21" t="n">
        <f aca="false">B25-B24</f>
        <v>31</v>
      </c>
    </row>
    <row r="26" customFormat="false" ht="15" hidden="false" customHeight="true" outlineLevel="0" collapsed="false">
      <c r="A26" s="3" t="n">
        <v>17</v>
      </c>
      <c r="B26" s="12" t="n">
        <f aca="false">EOMONTH($E$5,17)</f>
        <v>50525</v>
      </c>
      <c r="C26" s="13" t="n">
        <f aca="false">IF(17=$B$5,F25+D26,$H$4)</f>
        <v>16372.57</v>
      </c>
      <c r="D26" s="16" t="n">
        <f aca="false">ROUND(F25*$B$4/100*J26/365,2)</f>
        <v>1944.44</v>
      </c>
      <c r="E26" s="18" t="n">
        <f aca="false">C26-D26</f>
        <v>14428.13</v>
      </c>
      <c r="F26" s="13" t="n">
        <f aca="false">F25-E26</f>
        <v>661496.91</v>
      </c>
      <c r="G26" s="19" t="n">
        <f aca="false">ROUND(($B$3+$E$5)/$E$3,2)</f>
        <v>15833.33</v>
      </c>
      <c r="H26" s="19" t="n">
        <f aca="false">H25-G26</f>
        <v>680833.390000001</v>
      </c>
      <c r="J26" s="21" t="n">
        <f aca="false">B26-B25</f>
        <v>30</v>
      </c>
    </row>
    <row r="27" customFormat="false" ht="15" hidden="false" customHeight="true" outlineLevel="0" collapsed="false">
      <c r="A27" s="3" t="n">
        <v>18</v>
      </c>
      <c r="B27" s="12" t="n">
        <f aca="false">EOMONTH($E$5,18)</f>
        <v>50556</v>
      </c>
      <c r="C27" s="13" t="n">
        <f aca="false">IF(18=$B$5,F26+D27,$H$4)</f>
        <v>16372.57</v>
      </c>
      <c r="D27" s="16" t="n">
        <f aca="false">ROUND(F26*$B$4/100*J27/365,2)</f>
        <v>1966.37</v>
      </c>
      <c r="E27" s="18" t="n">
        <f aca="false">C27-D27</f>
        <v>14406.2</v>
      </c>
      <c r="F27" s="13" t="n">
        <f aca="false">F26-E27</f>
        <v>647090.71</v>
      </c>
      <c r="G27" s="19" t="n">
        <f aca="false">ROUND(($B$3+$E$5)/$E$3,2)</f>
        <v>15833.33</v>
      </c>
      <c r="H27" s="19" t="n">
        <f aca="false">H26-G27</f>
        <v>665000.060000001</v>
      </c>
      <c r="J27" s="21" t="n">
        <f aca="false">B27-B26</f>
        <v>31</v>
      </c>
    </row>
    <row r="28" customFormat="false" ht="15" hidden="false" customHeight="true" outlineLevel="0" collapsed="false">
      <c r="A28" s="3" t="n">
        <v>19</v>
      </c>
      <c r="B28" s="12" t="n">
        <f aca="false">EOMONTH($E$5,19)</f>
        <v>50586</v>
      </c>
      <c r="C28" s="13" t="n">
        <f aca="false">IF(19=$B$5,F27+D28,$H$4)</f>
        <v>16372.57</v>
      </c>
      <c r="D28" s="16" t="n">
        <f aca="false">ROUND(F27*$B$4/100*J28/365,2)</f>
        <v>1861.49</v>
      </c>
      <c r="E28" s="18" t="n">
        <f aca="false">C28-D28</f>
        <v>14511.08</v>
      </c>
      <c r="F28" s="13" t="n">
        <f aca="false">F27-E28</f>
        <v>632579.63</v>
      </c>
      <c r="G28" s="19" t="n">
        <f aca="false">ROUND(($B$3+$E$5)/$E$3,2)</f>
        <v>15833.33</v>
      </c>
      <c r="H28" s="19" t="n">
        <f aca="false">H27-G28</f>
        <v>649166.730000001</v>
      </c>
      <c r="J28" s="21" t="n">
        <f aca="false">B28-B27</f>
        <v>30</v>
      </c>
    </row>
    <row r="29" customFormat="false" ht="15" hidden="false" customHeight="true" outlineLevel="0" collapsed="false">
      <c r="A29" s="3" t="n">
        <v>20</v>
      </c>
      <c r="B29" s="12" t="n">
        <f aca="false">EOMONTH($E$5,20)</f>
        <v>50617</v>
      </c>
      <c r="C29" s="13" t="n">
        <f aca="false">IF(20=$B$5,F28+D29,$H$4)</f>
        <v>16372.57</v>
      </c>
      <c r="D29" s="16" t="n">
        <f aca="false">ROUND(F28*$B$4/100*J29/365,2)</f>
        <v>1880.41</v>
      </c>
      <c r="E29" s="18" t="n">
        <f aca="false">C29-D29</f>
        <v>14492.16</v>
      </c>
      <c r="F29" s="13" t="n">
        <f aca="false">F28-E29</f>
        <v>618087.47</v>
      </c>
      <c r="G29" s="19" t="n">
        <f aca="false">ROUND(($B$3+$E$5)/$E$3,2)</f>
        <v>15833.33</v>
      </c>
      <c r="H29" s="19" t="n">
        <f aca="false">H28-G29</f>
        <v>633333.400000001</v>
      </c>
      <c r="J29" s="21" t="n">
        <f aca="false">B29-B28</f>
        <v>31</v>
      </c>
    </row>
    <row r="30" customFormat="false" ht="15" hidden="false" customHeight="true" outlineLevel="0" collapsed="false">
      <c r="A30" s="3" t="n">
        <v>21</v>
      </c>
      <c r="B30" s="12" t="n">
        <f aca="false">EOMONTH($E$5,21)</f>
        <v>50648</v>
      </c>
      <c r="C30" s="13" t="n">
        <f aca="false">IF(21=$B$5,F29+D30,$H$4)</f>
        <v>16372.57</v>
      </c>
      <c r="D30" s="16" t="n">
        <f aca="false">ROUND(F29*$B$4/100*J30/365,2)</f>
        <v>1837.33</v>
      </c>
      <c r="E30" s="18" t="n">
        <f aca="false">C30-D30</f>
        <v>14535.24</v>
      </c>
      <c r="F30" s="13" t="n">
        <f aca="false">F29-E30</f>
        <v>603552.23</v>
      </c>
      <c r="G30" s="19" t="n">
        <f aca="false">ROUND(($B$3+$E$5)/$E$3,2)</f>
        <v>15833.33</v>
      </c>
      <c r="H30" s="19" t="n">
        <f aca="false">H29-G30</f>
        <v>617500.070000001</v>
      </c>
      <c r="J30" s="21" t="n">
        <f aca="false">B30-B29</f>
        <v>31</v>
      </c>
    </row>
    <row r="31" customFormat="false" ht="15" hidden="false" customHeight="true" outlineLevel="0" collapsed="false">
      <c r="A31" s="3" t="n">
        <v>22</v>
      </c>
      <c r="B31" s="12" t="n">
        <f aca="false">EOMONTH($E$5,22)</f>
        <v>50678</v>
      </c>
      <c r="C31" s="13" t="n">
        <f aca="false">IF(22=$B$5,F30+D31,$H$4)</f>
        <v>16372.57</v>
      </c>
      <c r="D31" s="16" t="n">
        <f aca="false">ROUND(F30*$B$4/100*J31/365,2)</f>
        <v>1736.25</v>
      </c>
      <c r="E31" s="18" t="n">
        <f aca="false">C31-D31</f>
        <v>14636.32</v>
      </c>
      <c r="F31" s="13" t="n">
        <f aca="false">F30-E31</f>
        <v>588915.91</v>
      </c>
      <c r="G31" s="19" t="n">
        <f aca="false">ROUND(($B$3+$E$5)/$E$3,2)</f>
        <v>15833.33</v>
      </c>
      <c r="H31" s="19" t="n">
        <f aca="false">H30-G31</f>
        <v>601666.740000001</v>
      </c>
      <c r="J31" s="21" t="n">
        <f aca="false">B31-B30</f>
        <v>30</v>
      </c>
    </row>
    <row r="32" customFormat="false" ht="15" hidden="false" customHeight="true" outlineLevel="0" collapsed="false">
      <c r="A32" s="3" t="n">
        <v>23</v>
      </c>
      <c r="B32" s="12" t="n">
        <f aca="false">EOMONTH($E$5,23)</f>
        <v>50709</v>
      </c>
      <c r="C32" s="13" t="n">
        <f aca="false">IF(23=$B$5,F31+D32,$H$4)</f>
        <v>16372.57</v>
      </c>
      <c r="D32" s="16" t="n">
        <f aca="false">ROUND(F31*$B$4/100*J32/365,2)</f>
        <v>1750.61</v>
      </c>
      <c r="E32" s="18" t="n">
        <f aca="false">C32-D32</f>
        <v>14621.96</v>
      </c>
      <c r="F32" s="13" t="n">
        <f aca="false">F31-E32</f>
        <v>574293.95</v>
      </c>
      <c r="G32" s="19" t="n">
        <f aca="false">ROUND(($B$3+$E$5)/$E$3,2)</f>
        <v>15833.33</v>
      </c>
      <c r="H32" s="19" t="n">
        <f aca="false">H31-G32</f>
        <v>585833.410000001</v>
      </c>
      <c r="J32" s="21" t="n">
        <f aca="false">B32-B31</f>
        <v>31</v>
      </c>
    </row>
    <row r="33" customFormat="false" ht="15" hidden="false" customHeight="true" outlineLevel="0" collapsed="false">
      <c r="A33" s="3" t="n">
        <v>24</v>
      </c>
      <c r="B33" s="12" t="n">
        <f aca="false">EOMONTH($E$5,24)</f>
        <v>50739</v>
      </c>
      <c r="C33" s="13" t="n">
        <f aca="false">IF(24=$B$5,F32+D33,$H$4)</f>
        <v>16372.57</v>
      </c>
      <c r="D33" s="16" t="n">
        <f aca="false">ROUND(F32*$B$4/100*J33/365,2)</f>
        <v>1652.08</v>
      </c>
      <c r="E33" s="18" t="n">
        <f aca="false">C33-D33</f>
        <v>14720.49</v>
      </c>
      <c r="F33" s="13" t="n">
        <f aca="false">F32-E33</f>
        <v>559573.46</v>
      </c>
      <c r="G33" s="19" t="n">
        <f aca="false">ROUND(($B$3+$E$5)/$E$3,2)</f>
        <v>15833.33</v>
      </c>
      <c r="H33" s="19" t="n">
        <f aca="false">H32-G33</f>
        <v>570000.080000001</v>
      </c>
      <c r="J33" s="21" t="n">
        <f aca="false">B33-B32</f>
        <v>30</v>
      </c>
    </row>
    <row r="34" customFormat="false" ht="15" hidden="false" customHeight="true" outlineLevel="0" collapsed="false">
      <c r="A34" s="3" t="n">
        <v>25</v>
      </c>
      <c r="B34" s="12" t="n">
        <f aca="false">EOMONTH($E$5,25)</f>
        <v>50770</v>
      </c>
      <c r="C34" s="13" t="n">
        <f aca="false">IF(25=$B$5,F33+D34,$H$4)</f>
        <v>16372.57</v>
      </c>
      <c r="D34" s="16" t="n">
        <f aca="false">ROUND(F33*$B$4/100*J34/365,2)</f>
        <v>1663.39</v>
      </c>
      <c r="E34" s="18" t="n">
        <f aca="false">C34-D34</f>
        <v>14709.18</v>
      </c>
      <c r="F34" s="13" t="n">
        <f aca="false">F33-E34</f>
        <v>544864.28</v>
      </c>
      <c r="G34" s="19" t="n">
        <f aca="false">ROUND(($B$3+$E$5)/$E$3,2)</f>
        <v>15833.33</v>
      </c>
      <c r="H34" s="19" t="n">
        <f aca="false">H33-G34</f>
        <v>554166.750000001</v>
      </c>
      <c r="J34" s="21" t="n">
        <f aca="false">B34-B33</f>
        <v>31</v>
      </c>
    </row>
    <row r="35" customFormat="false" ht="15" hidden="false" customHeight="true" outlineLevel="0" collapsed="false">
      <c r="A35" s="3" t="n">
        <v>26</v>
      </c>
      <c r="B35" s="12" t="n">
        <f aca="false">EOMONTH($E$5,26)</f>
        <v>50801</v>
      </c>
      <c r="C35" s="13" t="n">
        <f aca="false">IF(26=$B$5,F34+D35,$H$4)</f>
        <v>16372.57</v>
      </c>
      <c r="D35" s="16" t="n">
        <f aca="false">ROUND(F34*$B$4/100*J35/365,2)</f>
        <v>1619.67</v>
      </c>
      <c r="E35" s="18" t="n">
        <f aca="false">C35-D35</f>
        <v>14752.9</v>
      </c>
      <c r="F35" s="13" t="n">
        <f aca="false">F34-E35</f>
        <v>530111.38</v>
      </c>
      <c r="G35" s="19" t="n">
        <f aca="false">ROUND(($B$3+$E$5)/$E$3,2)</f>
        <v>15833.33</v>
      </c>
      <c r="H35" s="19" t="n">
        <f aca="false">H34-G35</f>
        <v>538333.420000001</v>
      </c>
      <c r="J35" s="21" t="n">
        <f aca="false">B35-B34</f>
        <v>31</v>
      </c>
    </row>
    <row r="36" customFormat="false" ht="15" hidden="false" customHeight="true" outlineLevel="0" collapsed="false">
      <c r="A36" s="3" t="n">
        <v>27</v>
      </c>
      <c r="B36" s="12" t="n">
        <f aca="false">EOMONTH($E$5,27)</f>
        <v>50829</v>
      </c>
      <c r="C36" s="13" t="n">
        <f aca="false">IF(27=$B$5,F35+D36,$H$4)</f>
        <v>16372.57</v>
      </c>
      <c r="D36" s="16" t="n">
        <f aca="false">ROUND(F35*$B$4/100*J36/365,2)</f>
        <v>1423.31</v>
      </c>
      <c r="E36" s="18" t="n">
        <f aca="false">C36-D36</f>
        <v>14949.26</v>
      </c>
      <c r="F36" s="13" t="n">
        <f aca="false">F35-E36</f>
        <v>515162.12</v>
      </c>
      <c r="G36" s="19" t="n">
        <f aca="false">ROUND(($B$3+$E$5)/$E$3,2)</f>
        <v>15833.33</v>
      </c>
      <c r="H36" s="19" t="n">
        <f aca="false">H35-G36</f>
        <v>522500.090000001</v>
      </c>
      <c r="J36" s="21" t="n">
        <f aca="false">B36-B35</f>
        <v>28</v>
      </c>
    </row>
    <row r="37" customFormat="false" ht="15" hidden="false" customHeight="true" outlineLevel="0" collapsed="false">
      <c r="A37" s="3" t="n">
        <v>28</v>
      </c>
      <c r="B37" s="12" t="n">
        <f aca="false">EOMONTH($E$5,28)</f>
        <v>50860</v>
      </c>
      <c r="C37" s="13" t="n">
        <f aca="false">IF(28=$B$5,F36+D37,$H$4)</f>
        <v>16372.57</v>
      </c>
      <c r="D37" s="16" t="n">
        <f aca="false">ROUND(F36*$B$4/100*J37/365,2)</f>
        <v>1531.37</v>
      </c>
      <c r="E37" s="18" t="n">
        <f aca="false">C37-D37</f>
        <v>14841.2</v>
      </c>
      <c r="F37" s="13" t="n">
        <f aca="false">F36-E37</f>
        <v>500320.92</v>
      </c>
      <c r="G37" s="19" t="n">
        <f aca="false">ROUND(($B$3+$E$5)/$E$3,2)</f>
        <v>15833.33</v>
      </c>
      <c r="H37" s="19" t="n">
        <f aca="false">H36-G37</f>
        <v>506666.760000001</v>
      </c>
      <c r="J37" s="21" t="n">
        <f aca="false">B37-B36</f>
        <v>31</v>
      </c>
    </row>
    <row r="38" customFormat="false" ht="15" hidden="false" customHeight="true" outlineLevel="0" collapsed="false">
      <c r="A38" s="3" t="n">
        <v>29</v>
      </c>
      <c r="B38" s="12" t="n">
        <f aca="false">EOMONTH($E$5,29)</f>
        <v>50890</v>
      </c>
      <c r="C38" s="13" t="n">
        <f aca="false">IF(29=$B$5,F37+D38,$H$4)</f>
        <v>16372.57</v>
      </c>
      <c r="D38" s="16" t="n">
        <f aca="false">ROUND(F37*$B$4/100*J38/365,2)</f>
        <v>1439.28</v>
      </c>
      <c r="E38" s="18" t="n">
        <f aca="false">C38-D38</f>
        <v>14933.29</v>
      </c>
      <c r="F38" s="13" t="n">
        <f aca="false">F37-E38</f>
        <v>485387.63</v>
      </c>
      <c r="G38" s="19" t="n">
        <f aca="false">ROUND(($B$3+$E$5)/$E$3,2)</f>
        <v>15833.33</v>
      </c>
      <c r="H38" s="19" t="n">
        <f aca="false">H37-G38</f>
        <v>490833.430000001</v>
      </c>
      <c r="J38" s="21" t="n">
        <f aca="false">B38-B37</f>
        <v>30</v>
      </c>
    </row>
    <row r="39" customFormat="false" ht="15" hidden="false" customHeight="true" outlineLevel="0" collapsed="false">
      <c r="A39" s="3" t="n">
        <v>30</v>
      </c>
      <c r="B39" s="12" t="n">
        <f aca="false">EOMONTH($E$5,30)</f>
        <v>50921</v>
      </c>
      <c r="C39" s="13" t="n">
        <f aca="false">IF(30=$B$5,F38+D39,$H$4)</f>
        <v>16372.57</v>
      </c>
      <c r="D39" s="16" t="n">
        <f aca="false">ROUND(F38*$B$4/100*J39/365,2)</f>
        <v>1442.86</v>
      </c>
      <c r="E39" s="18" t="n">
        <f aca="false">C39-D39</f>
        <v>14929.71</v>
      </c>
      <c r="F39" s="13" t="n">
        <f aca="false">F38-E39</f>
        <v>470457.92</v>
      </c>
      <c r="G39" s="19" t="n">
        <f aca="false">ROUND(($B$3+$E$5)/$E$3,2)</f>
        <v>15833.33</v>
      </c>
      <c r="H39" s="19" t="n">
        <f aca="false">H38-G39</f>
        <v>475000.100000001</v>
      </c>
      <c r="J39" s="21" t="n">
        <f aca="false">B39-B38</f>
        <v>31</v>
      </c>
    </row>
    <row r="40" customFormat="false" ht="15" hidden="false" customHeight="true" outlineLevel="0" collapsed="false">
      <c r="A40" s="3" t="n">
        <v>31</v>
      </c>
      <c r="B40" s="12" t="n">
        <f aca="false">EOMONTH($E$5,31)</f>
        <v>50951</v>
      </c>
      <c r="C40" s="13" t="n">
        <f aca="false">IF(31=$B$5,F39+D40,$H$4)</f>
        <v>16372.57</v>
      </c>
      <c r="D40" s="16" t="n">
        <f aca="false">ROUND(F39*$B$4/100*J40/365,2)</f>
        <v>1353.37</v>
      </c>
      <c r="E40" s="18" t="n">
        <f aca="false">C40-D40</f>
        <v>15019.2</v>
      </c>
      <c r="F40" s="13" t="n">
        <f aca="false">F39-E40</f>
        <v>455438.72</v>
      </c>
      <c r="G40" s="19" t="n">
        <f aca="false">ROUND(($B$3+$E$5)/$E$3,2)</f>
        <v>15833.33</v>
      </c>
      <c r="H40" s="19" t="n">
        <f aca="false">H39-G40</f>
        <v>459166.770000001</v>
      </c>
      <c r="J40" s="21" t="n">
        <f aca="false">B40-B39</f>
        <v>30</v>
      </c>
    </row>
    <row r="41" customFormat="false" ht="15" hidden="false" customHeight="true" outlineLevel="0" collapsed="false">
      <c r="A41" s="3" t="n">
        <v>32</v>
      </c>
      <c r="B41" s="12" t="n">
        <f aca="false">EOMONTH($E$5,32)</f>
        <v>50982</v>
      </c>
      <c r="C41" s="13" t="n">
        <f aca="false">IF(32=$B$5,F40+D41,$H$4)</f>
        <v>16372.57</v>
      </c>
      <c r="D41" s="16" t="n">
        <f aca="false">ROUND(F40*$B$4/100*J41/365,2)</f>
        <v>1353.84</v>
      </c>
      <c r="E41" s="18" t="n">
        <f aca="false">C41-D41</f>
        <v>15018.73</v>
      </c>
      <c r="F41" s="13" t="n">
        <f aca="false">F40-E41</f>
        <v>440419.99</v>
      </c>
      <c r="G41" s="19" t="n">
        <f aca="false">ROUND(($B$3+$E$5)/$E$3,2)</f>
        <v>15833.33</v>
      </c>
      <c r="H41" s="19" t="n">
        <f aca="false">H40-G41</f>
        <v>443333.440000001</v>
      </c>
      <c r="J41" s="21" t="n">
        <f aca="false">B41-B40</f>
        <v>31</v>
      </c>
    </row>
    <row r="42" customFormat="false" ht="15" hidden="false" customHeight="true" outlineLevel="0" collapsed="false">
      <c r="A42" s="3" t="n">
        <v>33</v>
      </c>
      <c r="B42" s="12" t="n">
        <f aca="false">EOMONTH($E$5,33)</f>
        <v>51013</v>
      </c>
      <c r="C42" s="13" t="n">
        <f aca="false">IF(33=$B$5,F41+D42,$H$4)</f>
        <v>16372.57</v>
      </c>
      <c r="D42" s="16" t="n">
        <f aca="false">ROUND(F41*$B$4/100*J42/365,2)</f>
        <v>1309.19</v>
      </c>
      <c r="E42" s="18" t="n">
        <f aca="false">C42-D42</f>
        <v>15063.38</v>
      </c>
      <c r="F42" s="13" t="n">
        <f aca="false">F41-E42</f>
        <v>425356.61</v>
      </c>
      <c r="G42" s="19" t="n">
        <f aca="false">ROUND(($B$3+$E$5)/$E$3,2)</f>
        <v>15833.33</v>
      </c>
      <c r="H42" s="19" t="n">
        <f aca="false">H41-G42</f>
        <v>427500.110000001</v>
      </c>
      <c r="J42" s="21" t="n">
        <f aca="false">B42-B41</f>
        <v>31</v>
      </c>
    </row>
    <row r="43" customFormat="false" ht="15" hidden="false" customHeight="true" outlineLevel="0" collapsed="false">
      <c r="A43" s="3" t="n">
        <v>34</v>
      </c>
      <c r="B43" s="12" t="n">
        <f aca="false">EOMONTH($E$5,34)</f>
        <v>51043</v>
      </c>
      <c r="C43" s="13" t="n">
        <f aca="false">IF(34=$B$5,F42+D43,$H$4)</f>
        <v>16372.57</v>
      </c>
      <c r="D43" s="16" t="n">
        <f aca="false">ROUND(F42*$B$4/100*J43/365,2)</f>
        <v>1223.63</v>
      </c>
      <c r="E43" s="18" t="n">
        <f aca="false">C43-D43</f>
        <v>15148.94</v>
      </c>
      <c r="F43" s="13" t="n">
        <f aca="false">F42-E43</f>
        <v>410207.67</v>
      </c>
      <c r="G43" s="19" t="n">
        <f aca="false">ROUND(($B$3+$E$5)/$E$3,2)</f>
        <v>15833.33</v>
      </c>
      <c r="H43" s="19" t="n">
        <f aca="false">H42-G43</f>
        <v>411666.780000001</v>
      </c>
      <c r="J43" s="21" t="n">
        <f aca="false">B43-B42</f>
        <v>30</v>
      </c>
    </row>
    <row r="44" customFormat="false" ht="15" hidden="false" customHeight="true" outlineLevel="0" collapsed="false">
      <c r="A44" s="3" t="n">
        <v>35</v>
      </c>
      <c r="B44" s="12" t="n">
        <f aca="false">EOMONTH($E$5,35)</f>
        <v>51074</v>
      </c>
      <c r="C44" s="13" t="n">
        <f aca="false">IF(35=$B$5,F43+D44,$H$4)</f>
        <v>16372.57</v>
      </c>
      <c r="D44" s="16" t="n">
        <f aca="false">ROUND(F43*$B$4/100*J44/365,2)</f>
        <v>1219.38</v>
      </c>
      <c r="E44" s="18" t="n">
        <f aca="false">C44-D44</f>
        <v>15153.19</v>
      </c>
      <c r="F44" s="13" t="n">
        <f aca="false">F43-E44</f>
        <v>395054.48</v>
      </c>
      <c r="G44" s="19" t="n">
        <f aca="false">ROUND(($B$3+$E$5)/$E$3,2)</f>
        <v>15833.33</v>
      </c>
      <c r="H44" s="19" t="n">
        <f aca="false">H43-G44</f>
        <v>395833.450000001</v>
      </c>
      <c r="J44" s="21" t="n">
        <f aca="false">B44-B43</f>
        <v>31</v>
      </c>
    </row>
    <row r="45" customFormat="false" ht="15" hidden="false" customHeight="true" outlineLevel="0" collapsed="false">
      <c r="A45" s="3" t="n">
        <v>36</v>
      </c>
      <c r="B45" s="12" t="n">
        <f aca="false">EOMONTH($E$5,36)</f>
        <v>51104</v>
      </c>
      <c r="C45" s="13" t="n">
        <f aca="false">IF(36=$B$5,F44+D45,$H$4)</f>
        <v>16372.57</v>
      </c>
      <c r="D45" s="16" t="n">
        <f aca="false">ROUND(F44*$B$4/100*J45/365,2)</f>
        <v>1136.46</v>
      </c>
      <c r="E45" s="18" t="n">
        <f aca="false">C45-D45</f>
        <v>15236.11</v>
      </c>
      <c r="F45" s="13" t="n">
        <f aca="false">F44-E45</f>
        <v>379818.37</v>
      </c>
      <c r="G45" s="19" t="n">
        <f aca="false">ROUND(($B$3+$E$5)/$E$3,2)</f>
        <v>15833.33</v>
      </c>
      <c r="H45" s="19" t="n">
        <f aca="false">H44-G45</f>
        <v>380000.120000001</v>
      </c>
      <c r="J45" s="21" t="n">
        <f aca="false">B45-B44</f>
        <v>30</v>
      </c>
    </row>
    <row r="46" customFormat="false" ht="15" hidden="false" customHeight="true" outlineLevel="0" collapsed="false">
      <c r="A46" s="3" t="n">
        <v>37</v>
      </c>
      <c r="B46" s="12" t="n">
        <f aca="false">EOMONTH($E$5,37)</f>
        <v>51135</v>
      </c>
      <c r="C46" s="13" t="n">
        <f aca="false">IF(37=$B$5,F45+D46,$H$4)</f>
        <v>16372.57</v>
      </c>
      <c r="D46" s="16" t="n">
        <f aca="false">ROUND(F45*$B$4/100*J46/365,2)</f>
        <v>1129.05</v>
      </c>
      <c r="E46" s="18" t="n">
        <f aca="false">C46-D46</f>
        <v>15243.52</v>
      </c>
      <c r="F46" s="13" t="n">
        <f aca="false">F45-E46</f>
        <v>364574.85</v>
      </c>
      <c r="G46" s="19" t="n">
        <f aca="false">ROUND(($B$3+$E$5)/$E$3,2)</f>
        <v>15833.33</v>
      </c>
      <c r="H46" s="19" t="n">
        <f aca="false">H45-G46</f>
        <v>364166.790000001</v>
      </c>
      <c r="J46" s="21" t="n">
        <f aca="false">B46-B45</f>
        <v>31</v>
      </c>
    </row>
    <row r="47" customFormat="false" ht="15" hidden="false" customHeight="true" outlineLevel="0" collapsed="false">
      <c r="A47" s="3" t="n">
        <v>38</v>
      </c>
      <c r="B47" s="12" t="n">
        <f aca="false">EOMONTH($E$5,38)</f>
        <v>51166</v>
      </c>
      <c r="C47" s="13" t="n">
        <f aca="false">IF(38=$B$5,F46+D47,$H$4)</f>
        <v>16372.57</v>
      </c>
      <c r="D47" s="16" t="n">
        <f aca="false">ROUND(F46*$B$4/100*J47/365,2)</f>
        <v>1083.74</v>
      </c>
      <c r="E47" s="18" t="n">
        <f aca="false">C47-D47</f>
        <v>15288.83</v>
      </c>
      <c r="F47" s="13" t="n">
        <f aca="false">F46-E47</f>
        <v>349286.02</v>
      </c>
      <c r="G47" s="19" t="n">
        <f aca="false">ROUND(($B$3+$E$5)/$E$3,2)</f>
        <v>15833.33</v>
      </c>
      <c r="H47" s="19" t="n">
        <f aca="false">H46-G47</f>
        <v>348333.460000001</v>
      </c>
      <c r="J47" s="21" t="n">
        <f aca="false">B47-B46</f>
        <v>31</v>
      </c>
    </row>
    <row r="48" customFormat="false" ht="15" hidden="false" customHeight="true" outlineLevel="0" collapsed="false">
      <c r="A48" s="3" t="n">
        <v>39</v>
      </c>
      <c r="B48" s="12" t="n">
        <f aca="false">EOMONTH($E$5,39)</f>
        <v>51195</v>
      </c>
      <c r="C48" s="13" t="n">
        <f aca="false">IF(39=$B$5,F47+D48,$H$4)</f>
        <v>16372.57</v>
      </c>
      <c r="D48" s="16" t="n">
        <f aca="false">ROUND(F47*$B$4/100*J48/365,2)</f>
        <v>971.3</v>
      </c>
      <c r="E48" s="18" t="n">
        <f aca="false">C48-D48</f>
        <v>15401.27</v>
      </c>
      <c r="F48" s="13" t="n">
        <f aca="false">F47-E48</f>
        <v>333884.75</v>
      </c>
      <c r="G48" s="19" t="n">
        <f aca="false">ROUND(($B$3+$E$5)/$E$3,2)</f>
        <v>15833.33</v>
      </c>
      <c r="H48" s="19" t="n">
        <f aca="false">H47-G48</f>
        <v>332500.130000001</v>
      </c>
      <c r="J48" s="21" t="n">
        <f aca="false">B48-B47</f>
        <v>29</v>
      </c>
    </row>
    <row r="49" customFormat="false" ht="15" hidden="false" customHeight="true" outlineLevel="0" collapsed="false">
      <c r="A49" s="3" t="n">
        <v>40</v>
      </c>
      <c r="B49" s="12" t="n">
        <f aca="false">EOMONTH($E$5,40)</f>
        <v>51226</v>
      </c>
      <c r="C49" s="13" t="n">
        <f aca="false">IF(40=$B$5,F48+D49,$H$4)</f>
        <v>16372.57</v>
      </c>
      <c r="D49" s="16" t="n">
        <f aca="false">ROUND(F48*$B$4/100*J49/365,2)</f>
        <v>992.51</v>
      </c>
      <c r="E49" s="18" t="n">
        <f aca="false">C49-D49</f>
        <v>15380.06</v>
      </c>
      <c r="F49" s="13" t="n">
        <f aca="false">F48-E49</f>
        <v>318504.69</v>
      </c>
      <c r="G49" s="19" t="n">
        <f aca="false">ROUND(($B$3+$E$5)/$E$3,2)</f>
        <v>15833.33</v>
      </c>
      <c r="H49" s="19" t="n">
        <f aca="false">H48-G49</f>
        <v>316666.800000001</v>
      </c>
      <c r="J49" s="21" t="n">
        <f aca="false">B49-B48</f>
        <v>31</v>
      </c>
    </row>
    <row r="50" customFormat="false" ht="15" hidden="false" customHeight="true" outlineLevel="0" collapsed="false">
      <c r="A50" s="3" t="n">
        <v>41</v>
      </c>
      <c r="B50" s="12" t="n">
        <f aca="false">EOMONTH($E$5,41)</f>
        <v>51256</v>
      </c>
      <c r="C50" s="13" t="n">
        <f aca="false">IF(41=$B$5,F49+D50,$H$4)</f>
        <v>16372.57</v>
      </c>
      <c r="D50" s="16" t="n">
        <f aca="false">ROUND(F49*$B$4/100*J50/365,2)</f>
        <v>916.25</v>
      </c>
      <c r="E50" s="18" t="n">
        <f aca="false">C50-D50</f>
        <v>15456.32</v>
      </c>
      <c r="F50" s="13" t="n">
        <f aca="false">F49-E50</f>
        <v>303048.37</v>
      </c>
      <c r="G50" s="19" t="n">
        <f aca="false">ROUND(($B$3+$E$5)/$E$3,2)</f>
        <v>15833.33</v>
      </c>
      <c r="H50" s="19" t="n">
        <f aca="false">H49-G50</f>
        <v>300833.470000001</v>
      </c>
      <c r="J50" s="21" t="n">
        <f aca="false">B50-B49</f>
        <v>30</v>
      </c>
    </row>
    <row r="51" customFormat="false" ht="15" hidden="false" customHeight="true" outlineLevel="0" collapsed="false">
      <c r="A51" s="3" t="n">
        <v>42</v>
      </c>
      <c r="B51" s="12" t="n">
        <f aca="false">EOMONTH($E$5,42)</f>
        <v>51287</v>
      </c>
      <c r="C51" s="13" t="n">
        <f aca="false">IF(42=$B$5,F50+D51,$H$4)</f>
        <v>16372.57</v>
      </c>
      <c r="D51" s="16" t="n">
        <f aca="false">ROUND(F50*$B$4/100*J51/365,2)</f>
        <v>900.84</v>
      </c>
      <c r="E51" s="18" t="n">
        <f aca="false">C51-D51</f>
        <v>15471.73</v>
      </c>
      <c r="F51" s="13" t="n">
        <f aca="false">F50-E51</f>
        <v>287576.64</v>
      </c>
      <c r="G51" s="19" t="n">
        <f aca="false">ROUND(($B$3+$E$5)/$E$3,2)</f>
        <v>15833.33</v>
      </c>
      <c r="H51" s="19" t="n">
        <f aca="false">H50-G51</f>
        <v>285000.140000001</v>
      </c>
      <c r="J51" s="21" t="n">
        <f aca="false">B51-B50</f>
        <v>31</v>
      </c>
    </row>
    <row r="52" customFormat="false" ht="15" hidden="false" customHeight="true" outlineLevel="0" collapsed="false">
      <c r="A52" s="3" t="n">
        <v>43</v>
      </c>
      <c r="B52" s="12" t="n">
        <f aca="false">EOMONTH($E$5,43)</f>
        <v>51317</v>
      </c>
      <c r="C52" s="13" t="n">
        <f aca="false">IF(43=$B$5,F51+D52,$H$4)</f>
        <v>16372.57</v>
      </c>
      <c r="D52" s="16" t="n">
        <f aca="false">ROUND(F51*$B$4/100*J52/365,2)</f>
        <v>827.28</v>
      </c>
      <c r="E52" s="18" t="n">
        <f aca="false">C52-D52</f>
        <v>15545.29</v>
      </c>
      <c r="F52" s="13" t="n">
        <f aca="false">F51-E52</f>
        <v>272031.35</v>
      </c>
      <c r="G52" s="19" t="n">
        <f aca="false">ROUND(($B$3+$E$5)/$E$3,2)</f>
        <v>15833.33</v>
      </c>
      <c r="H52" s="19" t="n">
        <f aca="false">H51-G52</f>
        <v>269166.810000001</v>
      </c>
      <c r="J52" s="21" t="n">
        <f aca="false">B52-B51</f>
        <v>30</v>
      </c>
    </row>
    <row r="53" customFormat="false" ht="15" hidden="false" customHeight="true" outlineLevel="0" collapsed="false">
      <c r="A53" s="3" t="n">
        <v>44</v>
      </c>
      <c r="B53" s="12" t="n">
        <f aca="false">EOMONTH($E$5,44)</f>
        <v>51348</v>
      </c>
      <c r="C53" s="13" t="n">
        <f aca="false">IF(44=$B$5,F52+D53,$H$4)</f>
        <v>16372.57</v>
      </c>
      <c r="D53" s="16" t="n">
        <f aca="false">ROUND(F52*$B$4/100*J53/365,2)</f>
        <v>808.64</v>
      </c>
      <c r="E53" s="18" t="n">
        <f aca="false">C53-D53</f>
        <v>15563.93</v>
      </c>
      <c r="F53" s="13" t="n">
        <f aca="false">F52-E53</f>
        <v>256467.42</v>
      </c>
      <c r="G53" s="19" t="n">
        <f aca="false">ROUND(($B$3+$E$5)/$E$3,2)</f>
        <v>15833.33</v>
      </c>
      <c r="H53" s="19" t="n">
        <f aca="false">H52-G53</f>
        <v>253333.480000001</v>
      </c>
      <c r="J53" s="21" t="n">
        <f aca="false">B53-B52</f>
        <v>31</v>
      </c>
    </row>
    <row r="54" customFormat="false" ht="15" hidden="false" customHeight="true" outlineLevel="0" collapsed="false">
      <c r="A54" s="3" t="n">
        <v>45</v>
      </c>
      <c r="B54" s="12" t="n">
        <f aca="false">EOMONTH($E$5,45)</f>
        <v>51379</v>
      </c>
      <c r="C54" s="13" t="n">
        <f aca="false">IF(45=$B$5,F53+D54,$H$4)</f>
        <v>16372.57</v>
      </c>
      <c r="D54" s="16" t="n">
        <f aca="false">ROUND(F53*$B$4/100*J54/365,2)</f>
        <v>762.38</v>
      </c>
      <c r="E54" s="18" t="n">
        <f aca="false">C54-D54</f>
        <v>15610.19</v>
      </c>
      <c r="F54" s="13" t="n">
        <f aca="false">F53-E54</f>
        <v>240857.23</v>
      </c>
      <c r="G54" s="19" t="n">
        <f aca="false">ROUND(($B$3+$E$5)/$E$3,2)</f>
        <v>15833.33</v>
      </c>
      <c r="H54" s="19" t="n">
        <f aca="false">H53-G54</f>
        <v>237500.150000001</v>
      </c>
      <c r="J54" s="21" t="n">
        <f aca="false">B54-B53</f>
        <v>31</v>
      </c>
    </row>
    <row r="55" customFormat="false" ht="15" hidden="false" customHeight="true" outlineLevel="0" collapsed="false">
      <c r="A55" s="3" t="n">
        <v>46</v>
      </c>
      <c r="B55" s="12" t="n">
        <f aca="false">EOMONTH($E$5,46)</f>
        <v>51409</v>
      </c>
      <c r="C55" s="13" t="n">
        <f aca="false">IF(46=$B$5,F54+D55,$H$4)</f>
        <v>16372.57</v>
      </c>
      <c r="D55" s="16" t="n">
        <f aca="false">ROUND(F54*$B$4/100*J55/365,2)</f>
        <v>692.88</v>
      </c>
      <c r="E55" s="18" t="n">
        <f aca="false">C55-D55</f>
        <v>15679.69</v>
      </c>
      <c r="F55" s="13" t="n">
        <f aca="false">F54-E55</f>
        <v>225177.54</v>
      </c>
      <c r="G55" s="19" t="n">
        <f aca="false">ROUND(($B$3+$E$5)/$E$3,2)</f>
        <v>15833.33</v>
      </c>
      <c r="H55" s="19" t="n">
        <f aca="false">H54-G55</f>
        <v>221666.820000001</v>
      </c>
      <c r="J55" s="21" t="n">
        <f aca="false">B55-B54</f>
        <v>30</v>
      </c>
    </row>
    <row r="56" customFormat="false" ht="15" hidden="false" customHeight="true" outlineLevel="0" collapsed="false">
      <c r="A56" s="3" t="n">
        <v>47</v>
      </c>
      <c r="B56" s="12" t="n">
        <f aca="false">EOMONTH($E$5,47)</f>
        <v>51440</v>
      </c>
      <c r="C56" s="13" t="n">
        <f aca="false">IF(47=$B$5,F55+D56,$H$4)</f>
        <v>16372.57</v>
      </c>
      <c r="D56" s="16" t="n">
        <f aca="false">ROUND(F55*$B$4/100*J56/365,2)</f>
        <v>669.36</v>
      </c>
      <c r="E56" s="18" t="n">
        <f aca="false">C56-D56</f>
        <v>15703.21</v>
      </c>
      <c r="F56" s="13" t="n">
        <f aca="false">F55-E56</f>
        <v>209474.33</v>
      </c>
      <c r="G56" s="19" t="n">
        <f aca="false">ROUND(($B$3+$E$5)/$E$3,2)</f>
        <v>15833.33</v>
      </c>
      <c r="H56" s="19" t="n">
        <f aca="false">H55-G56</f>
        <v>205833.490000001</v>
      </c>
      <c r="J56" s="21" t="n">
        <f aca="false">B56-B55</f>
        <v>31</v>
      </c>
    </row>
    <row r="57" customFormat="false" ht="15" hidden="false" customHeight="true" outlineLevel="0" collapsed="false">
      <c r="A57" s="3" t="n">
        <v>48</v>
      </c>
      <c r="B57" s="12" t="n">
        <f aca="false">EOMONTH($E$5,48)</f>
        <v>51470</v>
      </c>
      <c r="C57" s="13" t="n">
        <f aca="false">IF(48=$B$5,F56+D57,$H$4)</f>
        <v>16372.57</v>
      </c>
      <c r="D57" s="16" t="n">
        <f aca="false">ROUND(F56*$B$4/100*J57/365,2)</f>
        <v>602.6</v>
      </c>
      <c r="E57" s="18" t="n">
        <f aca="false">C57-D57</f>
        <v>15769.97</v>
      </c>
      <c r="F57" s="13" t="n">
        <f aca="false">F56-E57</f>
        <v>193704.36</v>
      </c>
      <c r="G57" s="19" t="n">
        <f aca="false">ROUND(($B$3+$E$5)/$E$3,2)</f>
        <v>15833.33</v>
      </c>
      <c r="H57" s="19" t="n">
        <f aca="false">H56-G57</f>
        <v>190000.160000001</v>
      </c>
      <c r="J57" s="21" t="n">
        <f aca="false">B57-B56</f>
        <v>30</v>
      </c>
    </row>
    <row r="58" customFormat="false" ht="15" hidden="false" customHeight="true" outlineLevel="0" collapsed="false">
      <c r="A58" s="3" t="n">
        <v>49</v>
      </c>
      <c r="B58" s="12" t="n">
        <f aca="false">EOMONTH($E$5,49)</f>
        <v>51501</v>
      </c>
      <c r="C58" s="13" t="n">
        <f aca="false">IF(49=$B$5,F57+D58,$H$4)</f>
        <v>16372.57</v>
      </c>
      <c r="D58" s="16" t="n">
        <f aca="false">ROUND(F57*$B$4/100*J58/365,2)</f>
        <v>575.81</v>
      </c>
      <c r="E58" s="18" t="n">
        <f aca="false">C58-D58</f>
        <v>15796.76</v>
      </c>
      <c r="F58" s="13" t="n">
        <f aca="false">F57-E58</f>
        <v>177907.6</v>
      </c>
      <c r="G58" s="19" t="n">
        <f aca="false">ROUND(($B$3+$E$5)/$E$3,2)</f>
        <v>15833.33</v>
      </c>
      <c r="H58" s="19" t="n">
        <f aca="false">H57-G58</f>
        <v>174166.830000001</v>
      </c>
      <c r="J58" s="21" t="n">
        <f aca="false">B58-B57</f>
        <v>31</v>
      </c>
    </row>
    <row r="59" customFormat="false" ht="15" hidden="false" customHeight="true" outlineLevel="0" collapsed="false">
      <c r="A59" s="3" t="n">
        <v>50</v>
      </c>
      <c r="B59" s="12" t="n">
        <f aca="false">EOMONTH($E$5,50)</f>
        <v>51532</v>
      </c>
      <c r="C59" s="13" t="n">
        <f aca="false">IF(50=$B$5,F58+D59,$H$4)</f>
        <v>16372.57</v>
      </c>
      <c r="D59" s="16" t="n">
        <f aca="false">ROUND(F58*$B$4/100*J59/365,2)</f>
        <v>528.85</v>
      </c>
      <c r="E59" s="18" t="n">
        <f aca="false">C59-D59</f>
        <v>15843.72</v>
      </c>
      <c r="F59" s="13" t="n">
        <f aca="false">F58-E59</f>
        <v>162063.88</v>
      </c>
      <c r="G59" s="19" t="n">
        <f aca="false">ROUND(($B$3+$E$5)/$E$3,2)</f>
        <v>15833.33</v>
      </c>
      <c r="H59" s="19" t="n">
        <f aca="false">H58-G59</f>
        <v>158333.500000001</v>
      </c>
      <c r="J59" s="21" t="n">
        <f aca="false">B59-B58</f>
        <v>31</v>
      </c>
    </row>
    <row r="60" customFormat="false" ht="15" hidden="false" customHeight="true" outlineLevel="0" collapsed="false">
      <c r="A60" s="3" t="n">
        <v>51</v>
      </c>
      <c r="B60" s="12" t="n">
        <f aca="false">EOMONTH($E$5,51)</f>
        <v>51560</v>
      </c>
      <c r="C60" s="13" t="n">
        <f aca="false">IF(51=$B$5,F59+D60,$H$4)</f>
        <v>16372.57</v>
      </c>
      <c r="D60" s="16" t="n">
        <f aca="false">ROUND(F59*$B$4/100*J60/365,2)</f>
        <v>435.13</v>
      </c>
      <c r="E60" s="18" t="n">
        <f aca="false">C60-D60</f>
        <v>15937.44</v>
      </c>
      <c r="F60" s="13" t="n">
        <f aca="false">F59-E60</f>
        <v>146126.44</v>
      </c>
      <c r="G60" s="19" t="n">
        <f aca="false">ROUND(($B$3+$E$5)/$E$3,2)</f>
        <v>15833.33</v>
      </c>
      <c r="H60" s="19" t="n">
        <f aca="false">H59-G60</f>
        <v>142500.170000001</v>
      </c>
      <c r="J60" s="21" t="n">
        <f aca="false">B60-B59</f>
        <v>28</v>
      </c>
    </row>
    <row r="61" customFormat="false" ht="15" hidden="false" customHeight="true" outlineLevel="0" collapsed="false">
      <c r="A61" s="3" t="n">
        <v>52</v>
      </c>
      <c r="B61" s="12" t="n">
        <f aca="false">EOMONTH($E$5,52)</f>
        <v>51591</v>
      </c>
      <c r="C61" s="13" t="n">
        <f aca="false">IF(52=$B$5,F60+D61,$H$4)</f>
        <v>16372.57</v>
      </c>
      <c r="D61" s="16" t="n">
        <f aca="false">ROUND(F60*$B$4/100*J61/365,2)</f>
        <v>434.38</v>
      </c>
      <c r="E61" s="18" t="n">
        <f aca="false">C61-D61</f>
        <v>15938.19</v>
      </c>
      <c r="F61" s="13" t="n">
        <f aca="false">F60-E61</f>
        <v>130188.25</v>
      </c>
      <c r="G61" s="19" t="n">
        <f aca="false">ROUND(($B$3+$E$5)/$E$3,2)</f>
        <v>15833.33</v>
      </c>
      <c r="H61" s="19" t="n">
        <f aca="false">H60-G61</f>
        <v>126666.840000001</v>
      </c>
      <c r="J61" s="21" t="n">
        <f aca="false">B61-B60</f>
        <v>31</v>
      </c>
    </row>
    <row r="62" customFormat="false" ht="15" hidden="false" customHeight="true" outlineLevel="0" collapsed="false">
      <c r="A62" s="3" t="n">
        <v>53</v>
      </c>
      <c r="B62" s="12" t="n">
        <f aca="false">EOMONTH($E$5,53)</f>
        <v>51621</v>
      </c>
      <c r="C62" s="13" t="n">
        <f aca="false">IF(53=$B$5,F61+D62,$H$4)</f>
        <v>16372.57</v>
      </c>
      <c r="D62" s="16" t="n">
        <f aca="false">ROUND(F61*$B$4/100*J62/365,2)</f>
        <v>374.51</v>
      </c>
      <c r="E62" s="18" t="n">
        <f aca="false">C62-D62</f>
        <v>15998.06</v>
      </c>
      <c r="F62" s="13" t="n">
        <f aca="false">F61-E62</f>
        <v>114190.19</v>
      </c>
      <c r="G62" s="19" t="n">
        <f aca="false">ROUND(($B$3+$E$5)/$E$3,2)</f>
        <v>15833.33</v>
      </c>
      <c r="H62" s="19" t="n">
        <f aca="false">H61-G62</f>
        <v>110833.510000001</v>
      </c>
      <c r="J62" s="21" t="n">
        <f aca="false">B62-B61</f>
        <v>30</v>
      </c>
    </row>
    <row r="63" customFormat="false" ht="15" hidden="false" customHeight="true" outlineLevel="0" collapsed="false">
      <c r="A63" s="3" t="n">
        <v>54</v>
      </c>
      <c r="B63" s="12" t="n">
        <f aca="false">EOMONTH($E$5,54)</f>
        <v>51652</v>
      </c>
      <c r="C63" s="13" t="n">
        <f aca="false">IF(54=$B$5,F62+D63,$H$4)</f>
        <v>16372.57</v>
      </c>
      <c r="D63" s="16" t="n">
        <f aca="false">ROUND(F62*$B$4/100*J63/365,2)</f>
        <v>339.44</v>
      </c>
      <c r="E63" s="18" t="n">
        <f aca="false">C63-D63</f>
        <v>16033.13</v>
      </c>
      <c r="F63" s="13" t="n">
        <f aca="false">F62-E63</f>
        <v>98157.06</v>
      </c>
      <c r="G63" s="19" t="n">
        <f aca="false">ROUND(($B$3+$E$5)/$E$3,2)</f>
        <v>15833.33</v>
      </c>
      <c r="H63" s="19" t="n">
        <f aca="false">H62-G63</f>
        <v>95000.1800000009</v>
      </c>
      <c r="J63" s="21" t="n">
        <f aca="false">B63-B62</f>
        <v>31</v>
      </c>
    </row>
    <row r="64" customFormat="false" ht="15" hidden="false" customHeight="true" outlineLevel="0" collapsed="false">
      <c r="A64" s="3" t="n">
        <v>55</v>
      </c>
      <c r="B64" s="12" t="n">
        <f aca="false">EOMONTH($E$5,55)</f>
        <v>51682</v>
      </c>
      <c r="C64" s="13" t="n">
        <f aca="false">IF(55=$B$5,F63+D64,$H$4)</f>
        <v>16372.57</v>
      </c>
      <c r="D64" s="16" t="n">
        <f aca="false">ROUND(F63*$B$4/100*J64/365,2)</f>
        <v>282.37</v>
      </c>
      <c r="E64" s="18" t="n">
        <f aca="false">C64-D64</f>
        <v>16090.2</v>
      </c>
      <c r="F64" s="13" t="n">
        <f aca="false">F63-E64</f>
        <v>82066.86</v>
      </c>
      <c r="G64" s="19" t="n">
        <f aca="false">ROUND(($B$3+$E$5)/$E$3,2)</f>
        <v>15833.33</v>
      </c>
      <c r="H64" s="19" t="n">
        <f aca="false">H63-G64</f>
        <v>79166.8500000009</v>
      </c>
      <c r="J64" s="21" t="n">
        <f aca="false">B64-B63</f>
        <v>30</v>
      </c>
    </row>
    <row r="65" customFormat="false" ht="15" hidden="false" customHeight="true" outlineLevel="0" collapsed="false">
      <c r="A65" s="3" t="n">
        <v>56</v>
      </c>
      <c r="B65" s="12" t="n">
        <f aca="false">EOMONTH($E$5,56)</f>
        <v>51713</v>
      </c>
      <c r="C65" s="13" t="n">
        <f aca="false">IF(56=$B$5,F64+D65,$H$4)</f>
        <v>16372.57</v>
      </c>
      <c r="D65" s="16" t="n">
        <f aca="false">ROUND(F64*$B$4/100*J65/365,2)</f>
        <v>243.95</v>
      </c>
      <c r="E65" s="18" t="n">
        <f aca="false">C65-D65</f>
        <v>16128.62</v>
      </c>
      <c r="F65" s="13" t="n">
        <f aca="false">F64-E65</f>
        <v>65938.24</v>
      </c>
      <c r="G65" s="19" t="n">
        <f aca="false">ROUND(($B$3+$E$5)/$E$3,2)</f>
        <v>15833.33</v>
      </c>
      <c r="H65" s="19" t="n">
        <f aca="false">H64-G65</f>
        <v>63333.5200000009</v>
      </c>
      <c r="J65" s="21" t="n">
        <f aca="false">B65-B64</f>
        <v>31</v>
      </c>
    </row>
    <row r="66" customFormat="false" ht="15" hidden="false" customHeight="true" outlineLevel="0" collapsed="false">
      <c r="A66" s="3" t="n">
        <v>57</v>
      </c>
      <c r="B66" s="12" t="n">
        <f aca="false">EOMONTH($E$5,57)</f>
        <v>51744</v>
      </c>
      <c r="C66" s="13" t="n">
        <f aca="false">IF(57=$B$5,F65+D66,$H$4)</f>
        <v>16372.57</v>
      </c>
      <c r="D66" s="16" t="n">
        <f aca="false">ROUND(F65*$B$4/100*J66/365,2)</f>
        <v>196.01</v>
      </c>
      <c r="E66" s="18" t="n">
        <f aca="false">C66-D66</f>
        <v>16176.56</v>
      </c>
      <c r="F66" s="13" t="n">
        <f aca="false">F65-E66</f>
        <v>49761.68</v>
      </c>
      <c r="G66" s="19" t="n">
        <f aca="false">ROUND(($B$3+$E$5)/$E$3,2)</f>
        <v>15833.33</v>
      </c>
      <c r="H66" s="19" t="n">
        <f aca="false">H65-G66</f>
        <v>47500.1900000009</v>
      </c>
      <c r="J66" s="21" t="n">
        <f aca="false">B66-B65</f>
        <v>31</v>
      </c>
    </row>
    <row r="67" customFormat="false" ht="15" hidden="false" customHeight="true" outlineLevel="0" collapsed="false">
      <c r="A67" s="3" t="n">
        <v>58</v>
      </c>
      <c r="B67" s="12" t="n">
        <f aca="false">EOMONTH($E$5,58)</f>
        <v>51774</v>
      </c>
      <c r="C67" s="13" t="n">
        <f aca="false">IF(58=$B$5,F66+D67,$H$4)</f>
        <v>16372.57</v>
      </c>
      <c r="D67" s="16" t="n">
        <f aca="false">ROUND(F66*$B$4/100*J67/365,2)</f>
        <v>143.15</v>
      </c>
      <c r="E67" s="18" t="n">
        <f aca="false">C67-D67</f>
        <v>16229.42</v>
      </c>
      <c r="F67" s="13" t="n">
        <f aca="false">F66-E67</f>
        <v>33532.26</v>
      </c>
      <c r="G67" s="19" t="n">
        <f aca="false">ROUND(($B$3+$E$5)/$E$3,2)</f>
        <v>15833.33</v>
      </c>
      <c r="H67" s="19" t="n">
        <f aca="false">H66-G67</f>
        <v>31666.8600000009</v>
      </c>
      <c r="J67" s="21" t="n">
        <f aca="false">B67-B66</f>
        <v>30</v>
      </c>
    </row>
    <row r="68" customFormat="false" ht="15" hidden="false" customHeight="true" outlineLevel="0" collapsed="false">
      <c r="A68" s="3" t="n">
        <v>59</v>
      </c>
      <c r="B68" s="12" t="n">
        <f aca="false">EOMONTH($E$5,59)</f>
        <v>51805</v>
      </c>
      <c r="C68" s="13" t="n">
        <f aca="false">IF(59=$B$5,F67+D68,$H$4)</f>
        <v>16372.57</v>
      </c>
      <c r="D68" s="16" t="n">
        <f aca="false">ROUND(F67*$B$4/100*J68/365,2)</f>
        <v>99.68</v>
      </c>
      <c r="E68" s="18" t="n">
        <f aca="false">C68-D68</f>
        <v>16272.89</v>
      </c>
      <c r="F68" s="13" t="n">
        <f aca="false">F67-E68</f>
        <v>17259.37</v>
      </c>
      <c r="G68" s="19" t="n">
        <f aca="false">ROUND(($B$3+$E$5)/$E$3,2)</f>
        <v>15833.33</v>
      </c>
      <c r="H68" s="19" t="n">
        <f aca="false">H67-G68</f>
        <v>15833.5300000009</v>
      </c>
      <c r="J68" s="21" t="n">
        <f aca="false">B68-B67</f>
        <v>31</v>
      </c>
    </row>
    <row r="69" customFormat="false" ht="15" hidden="false" customHeight="true" outlineLevel="0" collapsed="false">
      <c r="A69" s="3" t="n">
        <v>60</v>
      </c>
      <c r="B69" s="12" t="n">
        <f aca="false">EOMONTH($E$5,60)</f>
        <v>51835</v>
      </c>
      <c r="C69" s="13" t="n">
        <f aca="false">IF(60=$B$5,F68+D69,$H$4)</f>
        <v>17309.02</v>
      </c>
      <c r="D69" s="16" t="n">
        <f aca="false">ROUND(F68*$B$4/100*J69/365,2)</f>
        <v>49.65</v>
      </c>
      <c r="E69" s="18" t="n">
        <f aca="false">C69-D69</f>
        <v>17259.37</v>
      </c>
      <c r="F69" s="13" t="n">
        <f aca="false">F68-E69</f>
        <v>0</v>
      </c>
      <c r="G69" s="19" t="n">
        <f aca="false">ROUND(($B$3+$E$5)/$E$3,2)</f>
        <v>15833.33</v>
      </c>
      <c r="H69" s="19" t="n">
        <f aca="false">H68-G69</f>
        <v>0.200000000902946</v>
      </c>
      <c r="J69" s="21" t="n">
        <f aca="false">B69-B68</f>
        <v>30</v>
      </c>
    </row>
  </sheetData>
  <mergeCells count="1">
    <mergeCell ref="A1: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0"/>
    <col collapsed="false" customWidth="true" hidden="false" outlineLevel="0" max="3" min="3" style="1" width="16"/>
    <col collapsed="false" customWidth="true" hidden="false" outlineLevel="0" max="4" min="4" style="1" width="64"/>
  </cols>
  <sheetData>
    <row r="1" customFormat="false" ht="15.75" hidden="false" customHeight="true" outlineLevel="0" collapsed="false">
      <c r="A1" s="2" t="s">
        <v>60</v>
      </c>
      <c r="B1" s="2"/>
      <c r="C1" s="2"/>
    </row>
    <row r="3" customFormat="false" ht="15" hidden="false" customHeight="true" outlineLevel="0" collapsed="false">
      <c r="A3" s="22" t="s">
        <v>50</v>
      </c>
      <c r="D3" s="23" t="s">
        <v>51</v>
      </c>
    </row>
    <row r="4" customFormat="false" ht="21.75" hidden="false" customHeight="true" outlineLevel="0" collapsed="false">
      <c r="A4" s="3" t="s">
        <v>26</v>
      </c>
      <c r="C4" s="13" t="n">
        <f aca="false">SUM('Lease Other'!E10:E21)</f>
        <v>166845.22</v>
      </c>
      <c r="D4" s="24" t="s">
        <v>52</v>
      </c>
    </row>
    <row r="5" customFormat="false" ht="15" hidden="false" customHeight="true" outlineLevel="0" collapsed="false">
      <c r="A5" s="3" t="s">
        <v>28</v>
      </c>
      <c r="C5" s="13" t="n">
        <f aca="false">SUM('Lease Other'!E22:E69)</f>
        <v>733154.78</v>
      </c>
      <c r="D5" s="24" t="s">
        <v>61</v>
      </c>
    </row>
    <row r="6" customFormat="false" ht="15" hidden="false" customHeight="true" outlineLevel="0" collapsed="false">
      <c r="A6" s="8" t="s">
        <v>30</v>
      </c>
      <c r="C6" s="9" t="n">
        <f aca="false">'Lease Other'!$B$3</f>
        <v>900000</v>
      </c>
      <c r="D6" s="24" t="s">
        <v>54</v>
      </c>
    </row>
    <row r="8" customFormat="false" ht="15" hidden="false" customHeight="true" outlineLevel="0" collapsed="false">
      <c r="A8" s="22" t="s">
        <v>32</v>
      </c>
      <c r="D8" s="23" t="s">
        <v>33</v>
      </c>
    </row>
    <row r="9" customFormat="false" ht="15" hidden="false" customHeight="true" outlineLevel="0" collapsed="false">
      <c r="A9" s="3" t="s">
        <v>34</v>
      </c>
      <c r="C9" s="13" t="n">
        <f aca="false">SUMPRODUCT(('Lease Other'!A10:A69&lt;=12)*('Lease Other'!E10:E69+'Lease Other'!D10:D69))</f>
        <v>196470.84</v>
      </c>
      <c r="D9" s="24" t="s">
        <v>55</v>
      </c>
    </row>
    <row r="10" customFormat="false" ht="15" hidden="false" customHeight="true" outlineLevel="0" collapsed="false">
      <c r="A10" s="3" t="s">
        <v>36</v>
      </c>
      <c r="C10" s="13" t="n">
        <f aca="false">SUMPRODUCT(('Lease Other'!A10:A69&gt;12)*('Lease Other'!A10:A69&lt;=60)*('Lease Other'!E10:E69+'Lease Other'!D10:D69))</f>
        <v>786819.81</v>
      </c>
      <c r="D10" s="24" t="s">
        <v>56</v>
      </c>
    </row>
    <row r="11" customFormat="false" ht="15" hidden="false" customHeight="true" outlineLevel="0" collapsed="false">
      <c r="A11" s="3" t="s">
        <v>38</v>
      </c>
      <c r="C11" s="13" t="n">
        <f aca="false">SUMPRODUCT(('Lease Other'!A10:A69&gt;60)*('Lease Other'!E10:E69+'Lease Other'!D10:D69))</f>
        <v>0</v>
      </c>
      <c r="D11" s="24" t="s">
        <v>62</v>
      </c>
    </row>
    <row r="12" customFormat="false" ht="21.75" hidden="false" customHeight="true" outlineLevel="0" collapsed="false">
      <c r="A12" s="8" t="s">
        <v>40</v>
      </c>
      <c r="C12" s="9" t="n">
        <f aca="false">'Lease Other'!$B$3+'Lease Other'!$H$5</f>
        <v>983290.65</v>
      </c>
      <c r="D12" s="24" t="s">
        <v>41</v>
      </c>
    </row>
    <row r="14" customFormat="false" ht="15" hidden="false" customHeight="true" outlineLevel="0" collapsed="false">
      <c r="A14" s="22" t="s">
        <v>58</v>
      </c>
    </row>
  </sheetData>
  <mergeCells count="1">
    <mergeCell ref="A1:C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7"/>
    <col collapsed="false" customWidth="true" hidden="false" outlineLevel="0" max="3" min="2" style="1" width="12"/>
    <col collapsed="false" customWidth="true" hidden="false" outlineLevel="0" max="4" min="4" style="1" width="6"/>
    <col collapsed="false" customWidth="true" hidden="false" outlineLevel="0" max="6" min="5" style="1" width="14"/>
    <col collapsed="false" customWidth="true" hidden="false" outlineLevel="0" max="7" min="7" style="1" width="12"/>
    <col collapsed="false" customWidth="true" hidden="false" outlineLevel="0" max="8" min="8" style="1" width="13"/>
    <col collapsed="false" customWidth="true" hidden="false" outlineLevel="0" max="9" min="9" style="1" width="16"/>
    <col collapsed="false" customWidth="true" hidden="false" outlineLevel="0" max="10" min="10" style="1" width="15"/>
  </cols>
  <sheetData>
    <row r="1" customFormat="false" ht="15" hidden="false" customHeight="true" outlineLevel="0" collapsed="false">
      <c r="A1" s="2" t="s">
        <v>63</v>
      </c>
      <c r="B1" s="2"/>
      <c r="C1" s="2"/>
      <c r="D1" s="2"/>
      <c r="E1" s="2"/>
      <c r="F1" s="2"/>
      <c r="G1" s="2"/>
      <c r="H1" s="2"/>
      <c r="I1" s="2"/>
      <c r="J1" s="2"/>
      <c r="K1" s="2"/>
    </row>
    <row r="3" customFormat="false" ht="23.25" hidden="false" customHeight="true" outlineLevel="0" collapsed="false">
      <c r="A3" s="3" t="s">
        <v>64</v>
      </c>
      <c r="B3" s="4" t="n">
        <v>5000000</v>
      </c>
      <c r="D3" s="11" t="s">
        <v>65</v>
      </c>
      <c r="E3" s="11" t="s">
        <v>66</v>
      </c>
      <c r="F3" s="11" t="s">
        <v>67</v>
      </c>
      <c r="G3" s="11" t="s">
        <v>68</v>
      </c>
    </row>
    <row r="4" customFormat="false" ht="15" hidden="false" customHeight="true" outlineLevel="0" collapsed="false">
      <c r="A4" s="3" t="s">
        <v>4</v>
      </c>
      <c r="B4" s="6" t="n">
        <v>5</v>
      </c>
      <c r="D4" s="3" t="s">
        <v>69</v>
      </c>
      <c r="E4" s="26" t="n">
        <v>90</v>
      </c>
      <c r="F4" s="26" t="n">
        <v>10</v>
      </c>
      <c r="G4" s="12" t="n">
        <f aca="false">$B$5+E4</f>
        <v>46356</v>
      </c>
    </row>
    <row r="5" customFormat="false" ht="15" hidden="false" customHeight="true" outlineLevel="0" collapsed="false">
      <c r="A5" s="3" t="s">
        <v>70</v>
      </c>
      <c r="B5" s="10" t="n">
        <v>46266</v>
      </c>
      <c r="D5" s="3" t="s">
        <v>71</v>
      </c>
      <c r="E5" s="26" t="n">
        <v>180</v>
      </c>
      <c r="F5" s="26" t="n">
        <v>10</v>
      </c>
      <c r="G5" s="12" t="n">
        <f aca="false">$B$5+E5</f>
        <v>46446</v>
      </c>
    </row>
    <row r="6" customFormat="false" ht="15" hidden="false" customHeight="true" outlineLevel="0" collapsed="false">
      <c r="A6" s="3" t="s">
        <v>72</v>
      </c>
      <c r="B6" s="10" t="n">
        <v>46386</v>
      </c>
      <c r="D6" s="3" t="s">
        <v>73</v>
      </c>
      <c r="E6" s="26" t="n">
        <v>270</v>
      </c>
      <c r="F6" s="26" t="n">
        <v>80</v>
      </c>
      <c r="G6" s="12" t="n">
        <f aca="false">$B$5+E6</f>
        <v>46536</v>
      </c>
    </row>
    <row r="9" customFormat="false" ht="23.25" hidden="false" customHeight="true" outlineLevel="0" collapsed="false">
      <c r="A9" s="11" t="s">
        <v>74</v>
      </c>
      <c r="B9" s="11" t="s">
        <v>75</v>
      </c>
      <c r="C9" s="11" t="s">
        <v>76</v>
      </c>
      <c r="D9" s="11" t="s">
        <v>66</v>
      </c>
      <c r="E9" s="11" t="s">
        <v>77</v>
      </c>
      <c r="F9" s="11" t="s">
        <v>65</v>
      </c>
      <c r="G9" s="11" t="s">
        <v>78</v>
      </c>
      <c r="H9" s="11" t="s">
        <v>79</v>
      </c>
      <c r="I9" s="11" t="s">
        <v>80</v>
      </c>
      <c r="J9" s="11" t="s">
        <v>81</v>
      </c>
    </row>
    <row r="10" customFormat="false" ht="15" hidden="false" customHeight="true" outlineLevel="0" collapsed="false">
      <c r="A10" s="3" t="n">
        <v>0</v>
      </c>
      <c r="B10" s="12" t="n">
        <f aca="false">$B$5</f>
        <v>46266</v>
      </c>
      <c r="C10" s="12" t="n">
        <f aca="false">$B$5</f>
        <v>46266</v>
      </c>
      <c r="D10" s="3" t="n">
        <v>0</v>
      </c>
      <c r="G10" s="27" t="n">
        <f aca="false">$B$4</f>
        <v>5</v>
      </c>
      <c r="H10" s="13" t="n">
        <v>0</v>
      </c>
      <c r="I10" s="13" t="n">
        <f aca="false">$B$3</f>
        <v>5000000</v>
      </c>
      <c r="J10" s="13" t="n">
        <f aca="false">ROUND($B$3*$B$4/100*($B$6-$B$5)/365,2)</f>
        <v>82191.78</v>
      </c>
    </row>
    <row r="11" customFormat="false" ht="15" hidden="false" customHeight="true" outlineLevel="0" collapsed="false">
      <c r="A11" s="3" t="n">
        <f aca="false">IF(C10&gt;=$B$6,"",1)</f>
        <v>1</v>
      </c>
      <c r="B11" s="12" t="n">
        <f aca="false">IF(C10&gt;=$B$6,"",C10)</f>
        <v>46266</v>
      </c>
      <c r="C11" s="12" t="n">
        <f aca="false">IF(C10&gt;=$B$6,"",MIN(EOMONTH($B$5,0),$B$6))</f>
        <v>46295</v>
      </c>
      <c r="D11" s="3" t="n">
        <f aca="false">IF(C10&gt;=$B$6,"",C11-B11)</f>
        <v>29</v>
      </c>
      <c r="E11" s="3" t="str">
        <f aca="false">IF(C10&gt;=$B$6,"",IF(SUMPRODUCT(($G$4:$G$6&gt;B11)*($G$4:$G$6&lt;=C11)*$F$4:$F$6)=0,"",SUMPRODUCT(($G$4:$G$6&gt;B11)*($G$4:$G$6&lt;=C11)*$F$4:$F$6)&amp;"%"))</f>
        <v/>
      </c>
      <c r="F11" s="18" t="n">
        <f aca="false">IF(C10&gt;=$B$6,"",ROUND($B$3*SUMPRODUCT(($G$4:$G$6&gt;B11)*($G$4:$G$6&lt;=C11)*$F$4:$F$6)/100,2))</f>
        <v>0</v>
      </c>
      <c r="G11" s="27" t="n">
        <f aca="false">IF(C10&gt;=$B$6,"",$B$4)</f>
        <v>5</v>
      </c>
      <c r="H11" s="16" t="n">
        <f aca="false">IF(C10&gt;=$B$6,"",ROUND(I10*$B$4/100*D11/365,2))</f>
        <v>19863.01</v>
      </c>
      <c r="I11" s="13" t="n">
        <f aca="false">IF(C10&gt;=$B$6,"",I10-F11)</f>
        <v>5000000</v>
      </c>
      <c r="J11" s="20" t="n">
        <f aca="false">IF(C10&gt;=$B$6,"",MAX(0,J10-H11))</f>
        <v>62328.77</v>
      </c>
    </row>
    <row r="12" customFormat="false" ht="15" hidden="false" customHeight="true" outlineLevel="0" collapsed="false">
      <c r="A12" s="3" t="n">
        <f aca="false">IF(C11&gt;=$B$6,"",2)</f>
        <v>2</v>
      </c>
      <c r="B12" s="12" t="n">
        <f aca="false">IF(C11&gt;=$B$6,"",C11)</f>
        <v>46295</v>
      </c>
      <c r="C12" s="12" t="n">
        <f aca="false">IF(C11&gt;=$B$6,"",MIN(EOMONTH($B$5,1),$B$6))</f>
        <v>46326</v>
      </c>
      <c r="D12" s="3" t="n">
        <f aca="false">IF(C11&gt;=$B$6,"",C12-B12)</f>
        <v>31</v>
      </c>
      <c r="E12" s="3" t="str">
        <f aca="false">IF(C11&gt;=$B$6,"",IF(SUMPRODUCT(($G$4:$G$6&gt;B12)*($G$4:$G$6&lt;=C12)*$F$4:$F$6)=0,"",SUMPRODUCT(($G$4:$G$6&gt;B12)*($G$4:$G$6&lt;=C12)*$F$4:$F$6)&amp;"%"))</f>
        <v/>
      </c>
      <c r="F12" s="18" t="n">
        <f aca="false">IF(C11&gt;=$B$6,"",ROUND($B$3*SUMPRODUCT(($G$4:$G$6&gt;B12)*($G$4:$G$6&lt;=C12)*$F$4:$F$6)/100,2))</f>
        <v>0</v>
      </c>
      <c r="G12" s="27" t="n">
        <f aca="false">IF(C11&gt;=$B$6,"",$B$4)</f>
        <v>5</v>
      </c>
      <c r="H12" s="16" t="n">
        <f aca="false">IF(C11&gt;=$B$6,"",ROUND(I11*$B$4/100*D12/365,2))</f>
        <v>21232.88</v>
      </c>
      <c r="I12" s="13" t="n">
        <f aca="false">IF(C11&gt;=$B$6,"",I11-F12)</f>
        <v>5000000</v>
      </c>
      <c r="J12" s="20" t="n">
        <f aca="false">IF(C11&gt;=$B$6,"",MAX(0,J11-H12))</f>
        <v>41095.89</v>
      </c>
    </row>
    <row r="13" customFormat="false" ht="15" hidden="false" customHeight="true" outlineLevel="0" collapsed="false">
      <c r="A13" s="3" t="n">
        <f aca="false">IF(C12&gt;=$B$6,"",3)</f>
        <v>3</v>
      </c>
      <c r="B13" s="12" t="n">
        <f aca="false">IF(C12&gt;=$B$6,"",C12)</f>
        <v>46326</v>
      </c>
      <c r="C13" s="12" t="n">
        <f aca="false">IF(C12&gt;=$B$6,"",MIN(EOMONTH($B$5,2),$B$6))</f>
        <v>46356</v>
      </c>
      <c r="D13" s="3" t="n">
        <f aca="false">IF(C12&gt;=$B$6,"",C13-B13)</f>
        <v>30</v>
      </c>
      <c r="E13" s="3" t="str">
        <f aca="false">IF(C12&gt;=$B$6,"",IF(SUMPRODUCT(($G$4:$G$6&gt;B13)*($G$4:$G$6&lt;=C13)*$F$4:$F$6)=0,"",SUMPRODUCT(($G$4:$G$6&gt;B13)*($G$4:$G$6&lt;=C13)*$F$4:$F$6)&amp;"%"))</f>
        <v>10%</v>
      </c>
      <c r="F13" s="18" t="n">
        <f aca="false">IF(C12&gt;=$B$6,"",ROUND($B$3*SUMPRODUCT(($G$4:$G$6&gt;B13)*($G$4:$G$6&lt;=C13)*$F$4:$F$6)/100,2))</f>
        <v>500000</v>
      </c>
      <c r="G13" s="27" t="n">
        <f aca="false">IF(C12&gt;=$B$6,"",$B$4)</f>
        <v>5</v>
      </c>
      <c r="H13" s="16" t="n">
        <f aca="false">IF(C12&gt;=$B$6,"",ROUND(I12*$B$4/100*D13/365,2))</f>
        <v>20547.95</v>
      </c>
      <c r="I13" s="13" t="n">
        <f aca="false">IF(C12&gt;=$B$6,"",I12-F13)</f>
        <v>4500000</v>
      </c>
      <c r="J13" s="20" t="n">
        <f aca="false">IF(C12&gt;=$B$6,"",MAX(0,J12-H13))</f>
        <v>20547.94</v>
      </c>
    </row>
    <row r="14" customFormat="false" ht="15" hidden="false" customHeight="true" outlineLevel="0" collapsed="false">
      <c r="A14" s="3" t="n">
        <f aca="false">IF(C13&gt;=$B$6,"",4)</f>
        <v>4</v>
      </c>
      <c r="B14" s="12" t="n">
        <f aca="false">IF(C13&gt;=$B$6,"",C13)</f>
        <v>46356</v>
      </c>
      <c r="C14" s="12" t="n">
        <f aca="false">IF(C13&gt;=$B$6,"",MIN(EOMONTH($B$5,3),$B$6))</f>
        <v>46386</v>
      </c>
      <c r="D14" s="3" t="n">
        <f aca="false">IF(C13&gt;=$B$6,"",C14-B14)</f>
        <v>30</v>
      </c>
      <c r="E14" s="3" t="str">
        <f aca="false">IF(C13&gt;=$B$6,"",IF(SUMPRODUCT(($G$4:$G$6&gt;B14)*($G$4:$G$6&lt;=C14)*$F$4:$F$6)=0,"",SUMPRODUCT(($G$4:$G$6&gt;B14)*($G$4:$G$6&lt;=C14)*$F$4:$F$6)&amp;"%"))</f>
        <v/>
      </c>
      <c r="F14" s="18" t="n">
        <f aca="false">IF(C13&gt;=$B$6,"",ROUND($B$3*SUMPRODUCT(($G$4:$G$6&gt;B14)*($G$4:$G$6&lt;=C14)*$F$4:$F$6)/100,2))</f>
        <v>0</v>
      </c>
      <c r="G14" s="27" t="n">
        <f aca="false">IF(C13&gt;=$B$6,"",$B$4)</f>
        <v>5</v>
      </c>
      <c r="H14" s="16" t="n">
        <f aca="false">IF(C13&gt;=$B$6,"",ROUND(I13*$B$4/100*D14/365,2))</f>
        <v>18493.15</v>
      </c>
      <c r="I14" s="13" t="n">
        <f aca="false">IF(C13&gt;=$B$6,"",I13-F14)</f>
        <v>4500000</v>
      </c>
      <c r="J14" s="20" t="n">
        <f aca="false">IF(C13&gt;=$B$6,"",MAX(0,J13-H14))</f>
        <v>2054.79</v>
      </c>
    </row>
    <row r="15" customFormat="false" ht="15" hidden="false" customHeight="true" outlineLevel="0" collapsed="false">
      <c r="A15" s="3" t="str">
        <f aca="false">IF(C14&gt;=$B$6,"",5)</f>
        <v/>
      </c>
      <c r="B15" s="12" t="str">
        <f aca="false">IF(C14&gt;=$B$6,"",C14)</f>
        <v/>
      </c>
      <c r="C15" s="12" t="str">
        <f aca="false">IF(C14&gt;=$B$6,"",MIN(EOMONTH($B$5,4),$B$6))</f>
        <v/>
      </c>
      <c r="D15" s="3" t="str">
        <f aca="false">IF(C14&gt;=$B$6,"",C15-B15)</f>
        <v/>
      </c>
      <c r="E15" s="3" t="str">
        <f aca="false">IF(C14&gt;=$B$6,"",IF(SUMPRODUCT(($G$4:$G$6&gt;B15)*($G$4:$G$6&lt;=C15)*$F$4:$F$6)=0,"",SUMPRODUCT(($G$4:$G$6&gt;B15)*($G$4:$G$6&lt;=C15)*$F$4:$F$6)&amp;"%"))</f>
        <v/>
      </c>
      <c r="F15" s="18" t="str">
        <f aca="false">IF(C14&gt;=$B$6,"",ROUND($B$3*SUMPRODUCT(($G$4:$G$6&gt;B15)*($G$4:$G$6&lt;=C15)*$F$4:$F$6)/100,2))</f>
        <v/>
      </c>
      <c r="G15" s="27" t="str">
        <f aca="false">IF(C14&gt;=$B$6,"",$B$4)</f>
        <v/>
      </c>
      <c r="H15" s="16" t="str">
        <f aca="false">IF(C14&gt;=$B$6,"",ROUND(I14*$B$4/100*D15/365,2))</f>
        <v/>
      </c>
      <c r="I15" s="13" t="str">
        <f aca="false">IF(C14&gt;=$B$6,"",I14-F15)</f>
        <v/>
      </c>
      <c r="J15" s="20" t="str">
        <f aca="false">IF(C14&gt;=$B$6,"",MAX(0,J14-H15))</f>
        <v/>
      </c>
    </row>
    <row r="16" customFormat="false" ht="15" hidden="false" customHeight="true" outlineLevel="0" collapsed="false">
      <c r="A16" s="3" t="str">
        <f aca="false">IF(C15&gt;=$B$6,"",6)</f>
        <v/>
      </c>
      <c r="B16" s="12" t="str">
        <f aca="false">IF(C15&gt;=$B$6,"",C15)</f>
        <v/>
      </c>
      <c r="C16" s="12" t="str">
        <f aca="false">IF(C15&gt;=$B$6,"",MIN(EOMONTH($B$5,5),$B$6))</f>
        <v/>
      </c>
      <c r="D16" s="3" t="str">
        <f aca="false">IF(C15&gt;=$B$6,"",C16-B16)</f>
        <v/>
      </c>
      <c r="E16" s="3" t="str">
        <f aca="false">IF(C15&gt;=$B$6,"",IF(SUMPRODUCT(($G$4:$G$6&gt;B16)*($G$4:$G$6&lt;=C16)*$F$4:$F$6)=0,"",SUMPRODUCT(($G$4:$G$6&gt;B16)*($G$4:$G$6&lt;=C16)*$F$4:$F$6)&amp;"%"))</f>
        <v/>
      </c>
      <c r="F16" s="18" t="str">
        <f aca="false">IF(C15&gt;=$B$6,"",ROUND($B$3*SUMPRODUCT(($G$4:$G$6&gt;B16)*($G$4:$G$6&lt;=C16)*$F$4:$F$6)/100,2))</f>
        <v/>
      </c>
      <c r="G16" s="27" t="str">
        <f aca="false">IF(C15&gt;=$B$6,"",$B$4)</f>
        <v/>
      </c>
      <c r="H16" s="16" t="str">
        <f aca="false">IF(C15&gt;=$B$6,"",ROUND(I15*$B$4/100*D16/365,2))</f>
        <v/>
      </c>
      <c r="I16" s="13" t="str">
        <f aca="false">IF(C15&gt;=$B$6,"",I15-F16)</f>
        <v/>
      </c>
      <c r="J16" s="20" t="str">
        <f aca="false">IF(C15&gt;=$B$6,"",MAX(0,J15-H16))</f>
        <v/>
      </c>
    </row>
    <row r="17" customFormat="false" ht="15" hidden="false" customHeight="true" outlineLevel="0" collapsed="false">
      <c r="A17" s="3" t="str">
        <f aca="false">IF(C16&gt;=$B$6,"",7)</f>
        <v/>
      </c>
      <c r="B17" s="12" t="str">
        <f aca="false">IF(C16&gt;=$B$6,"",C16)</f>
        <v/>
      </c>
      <c r="C17" s="12" t="str">
        <f aca="false">IF(C16&gt;=$B$6,"",MIN(EOMONTH($B$5,6),$B$6))</f>
        <v/>
      </c>
      <c r="D17" s="3" t="str">
        <f aca="false">IF(C16&gt;=$B$6,"",C17-B17)</f>
        <v/>
      </c>
      <c r="E17" s="3" t="str">
        <f aca="false">IF(C16&gt;=$B$6,"",IF(SUMPRODUCT(($G$4:$G$6&gt;B17)*($G$4:$G$6&lt;=C17)*$F$4:$F$6)=0,"",SUMPRODUCT(($G$4:$G$6&gt;B17)*($G$4:$G$6&lt;=C17)*$F$4:$F$6)&amp;"%"))</f>
        <v/>
      </c>
      <c r="F17" s="18" t="str">
        <f aca="false">IF(C16&gt;=$B$6,"",ROUND($B$3*SUMPRODUCT(($G$4:$G$6&gt;B17)*($G$4:$G$6&lt;=C17)*$F$4:$F$6)/100,2))</f>
        <v/>
      </c>
      <c r="G17" s="27" t="str">
        <f aca="false">IF(C16&gt;=$B$6,"",$B$4)</f>
        <v/>
      </c>
      <c r="H17" s="16" t="str">
        <f aca="false">IF(C16&gt;=$B$6,"",ROUND(I16*$B$4/100*D17/365,2))</f>
        <v/>
      </c>
      <c r="I17" s="13" t="str">
        <f aca="false">IF(C16&gt;=$B$6,"",I16-F17)</f>
        <v/>
      </c>
      <c r="J17" s="20" t="str">
        <f aca="false">IF(C16&gt;=$B$6,"",MAX(0,J16-H17))</f>
        <v/>
      </c>
    </row>
    <row r="18" customFormat="false" ht="15" hidden="false" customHeight="true" outlineLevel="0" collapsed="false">
      <c r="A18" s="3" t="str">
        <f aca="false">IF(C17&gt;=$B$6,"",8)</f>
        <v/>
      </c>
      <c r="B18" s="12" t="str">
        <f aca="false">IF(C17&gt;=$B$6,"",C17)</f>
        <v/>
      </c>
      <c r="C18" s="12" t="str">
        <f aca="false">IF(C17&gt;=$B$6,"",MIN(EOMONTH($B$5,7),$B$6))</f>
        <v/>
      </c>
      <c r="D18" s="3" t="str">
        <f aca="false">IF(C17&gt;=$B$6,"",C18-B18)</f>
        <v/>
      </c>
      <c r="E18" s="3" t="str">
        <f aca="false">IF(C17&gt;=$B$6,"",IF(SUMPRODUCT(($G$4:$G$6&gt;B18)*($G$4:$G$6&lt;=C18)*$F$4:$F$6)=0,"",SUMPRODUCT(($G$4:$G$6&gt;B18)*($G$4:$G$6&lt;=C18)*$F$4:$F$6)&amp;"%"))</f>
        <v/>
      </c>
      <c r="F18" s="18" t="str">
        <f aca="false">IF(C17&gt;=$B$6,"",ROUND($B$3*SUMPRODUCT(($G$4:$G$6&gt;B18)*($G$4:$G$6&lt;=C18)*$F$4:$F$6)/100,2))</f>
        <v/>
      </c>
      <c r="G18" s="27" t="str">
        <f aca="false">IF(C17&gt;=$B$6,"",$B$4)</f>
        <v/>
      </c>
      <c r="H18" s="16" t="str">
        <f aca="false">IF(C17&gt;=$B$6,"",ROUND(I17*$B$4/100*D18/365,2))</f>
        <v/>
      </c>
      <c r="I18" s="13" t="str">
        <f aca="false">IF(C17&gt;=$B$6,"",I17-F18)</f>
        <v/>
      </c>
      <c r="J18" s="20" t="str">
        <f aca="false">IF(C17&gt;=$B$6,"",MAX(0,J17-H18))</f>
        <v/>
      </c>
    </row>
    <row r="19" customFormat="false" ht="15" hidden="false" customHeight="true" outlineLevel="0" collapsed="false">
      <c r="F19" s="9" t="n">
        <f aca="false">SUM(F11:F18)</f>
        <v>500000</v>
      </c>
      <c r="G19" s="8" t="s">
        <v>82</v>
      </c>
      <c r="H19" s="9" t="n">
        <f aca="false">SUM(H11:H18)</f>
        <v>80136.99</v>
      </c>
    </row>
    <row r="21" customFormat="false" ht="15" hidden="false" customHeight="true" outlineLevel="0" collapsed="false">
      <c r="A21" s="28" t="s">
        <v>83</v>
      </c>
      <c r="B21" s="28"/>
      <c r="C21" s="28"/>
      <c r="D21" s="28"/>
      <c r="E21" s="28"/>
      <c r="F21" s="28"/>
      <c r="G21" s="28"/>
      <c r="H21" s="28"/>
      <c r="I21" s="28"/>
      <c r="J21" s="28"/>
    </row>
  </sheetData>
  <mergeCells count="2">
    <mergeCell ref="A1:K1"/>
    <mergeCell ref="A21:J2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3"/>
    <col collapsed="false" customWidth="true" hidden="false" outlineLevel="0" max="2" min="2" style="1" width="8"/>
    <col collapsed="false" customWidth="true" hidden="false" outlineLevel="0" max="3" min="3" style="1" width="13"/>
    <col collapsed="false" customWidth="true" hidden="false" outlineLevel="0" max="4" min="4" style="1" width="15"/>
    <col collapsed="false" customWidth="true" hidden="false" outlineLevel="0" max="5" min="5" style="1" width="12"/>
    <col collapsed="false" customWidth="true" hidden="false" outlineLevel="0" max="6" min="6" style="1" width="17"/>
    <col collapsed="false" customWidth="true" hidden="false" outlineLevel="0" max="7" min="7" style="1" width="10"/>
    <col collapsed="false" customWidth="true" hidden="false" outlineLevel="0" max="8" min="8" style="1" width="12"/>
  </cols>
  <sheetData>
    <row r="1" customFormat="false" ht="15" hidden="false" customHeight="true" outlineLevel="0" collapsed="false">
      <c r="A1" s="2" t="s">
        <v>84</v>
      </c>
      <c r="B1" s="2"/>
      <c r="C1" s="2"/>
      <c r="D1" s="2"/>
      <c r="E1" s="2"/>
      <c r="F1" s="2"/>
      <c r="G1" s="2"/>
      <c r="H1" s="2"/>
    </row>
    <row r="3" customFormat="false" ht="15" hidden="false" customHeight="true" outlineLevel="0" collapsed="false">
      <c r="A3" s="11" t="s">
        <v>85</v>
      </c>
      <c r="B3" s="11" t="s">
        <v>86</v>
      </c>
      <c r="C3" s="11" t="s">
        <v>87</v>
      </c>
      <c r="D3" s="11" t="s">
        <v>88</v>
      </c>
      <c r="E3" s="11" t="s">
        <v>89</v>
      </c>
      <c r="F3" s="11" t="s">
        <v>18</v>
      </c>
      <c r="G3" s="11" t="s">
        <v>90</v>
      </c>
      <c r="H3" s="11" t="s">
        <v>91</v>
      </c>
    </row>
    <row r="4" customFormat="false" ht="15" hidden="false" customHeight="true" outlineLevel="0" collapsed="false">
      <c r="A4" s="29" t="n">
        <v>46203</v>
      </c>
      <c r="B4" s="26" t="s">
        <v>92</v>
      </c>
      <c r="C4" s="26" t="s">
        <v>93</v>
      </c>
      <c r="D4" s="30" t="n">
        <v>1017123.29</v>
      </c>
      <c r="E4" s="31" t="s">
        <v>94</v>
      </c>
      <c r="F4" s="32" t="n">
        <v>-1017123.29</v>
      </c>
      <c r="G4" s="3" t="s">
        <v>95</v>
      </c>
      <c r="H4" s="33" t="s">
        <v>96</v>
      </c>
    </row>
    <row r="5" customFormat="false" ht="15" hidden="false" customHeight="true" outlineLevel="0" collapsed="false">
      <c r="A5" s="29" t="n">
        <v>46239</v>
      </c>
      <c r="B5" s="26" t="s">
        <v>94</v>
      </c>
      <c r="C5" s="26" t="s">
        <v>94</v>
      </c>
      <c r="D5" s="30" t="n">
        <v>92958.9</v>
      </c>
      <c r="E5" s="31" t="s">
        <v>94</v>
      </c>
      <c r="F5" s="34" t="n">
        <v>0</v>
      </c>
      <c r="G5" s="3" t="s">
        <v>95</v>
      </c>
      <c r="H5" s="33" t="s">
        <v>97</v>
      </c>
    </row>
    <row r="6" customFormat="false" ht="15" hidden="false" customHeight="true" outlineLevel="0" collapsed="false">
      <c r="A6" s="29" t="n">
        <v>46244</v>
      </c>
      <c r="B6" s="26" t="s">
        <v>94</v>
      </c>
      <c r="C6" s="26" t="s">
        <v>94</v>
      </c>
      <c r="D6" s="30" t="n">
        <v>18750</v>
      </c>
      <c r="E6" s="31" t="s">
        <v>94</v>
      </c>
      <c r="F6" s="34" t="n">
        <v>0</v>
      </c>
      <c r="G6" s="3" t="s">
        <v>95</v>
      </c>
      <c r="H6" s="33" t="s">
        <v>97</v>
      </c>
    </row>
    <row r="7" customFormat="false" ht="15" hidden="false" customHeight="true" outlineLevel="0" collapsed="false">
      <c r="A7" s="29" t="n">
        <v>46263</v>
      </c>
      <c r="B7" s="26" t="s">
        <v>98</v>
      </c>
      <c r="C7" s="26" t="s">
        <v>93</v>
      </c>
      <c r="D7" s="30" t="n">
        <v>2002286.3</v>
      </c>
      <c r="E7" s="31" t="s">
        <v>94</v>
      </c>
      <c r="F7" s="32" t="n">
        <v>-3019409.59</v>
      </c>
      <c r="G7" s="3" t="s">
        <v>95</v>
      </c>
      <c r="H7" s="33" t="s">
        <v>96</v>
      </c>
    </row>
    <row r="8" customFormat="false" ht="15" hidden="false" customHeight="true" outlineLevel="0" collapsed="false">
      <c r="A8" s="29" t="n">
        <v>46323</v>
      </c>
      <c r="B8" s="26" t="s">
        <v>99</v>
      </c>
      <c r="C8" s="26" t="s">
        <v>93</v>
      </c>
      <c r="D8" s="30" t="n">
        <v>3313923.29</v>
      </c>
      <c r="E8" s="31" t="s">
        <v>94</v>
      </c>
      <c r="F8" s="32" t="n">
        <v>-6333332.88</v>
      </c>
      <c r="G8" s="3" t="s">
        <v>95</v>
      </c>
      <c r="H8" s="33" t="s">
        <v>96</v>
      </c>
    </row>
    <row r="10" customFormat="false" ht="11.25" hidden="false" customHeight="true" outlineLevel="0" collapsed="false">
      <c r="A10" s="28" t="s">
        <v>100</v>
      </c>
      <c r="B10" s="28"/>
      <c r="C10" s="28"/>
      <c r="D10" s="28"/>
      <c r="E10" s="28"/>
      <c r="F10" s="28"/>
      <c r="G10" s="28"/>
      <c r="H10" s="28"/>
    </row>
  </sheetData>
  <mergeCells count="2">
    <mergeCell ref="A1:H1"/>
    <mergeCell ref="A10:H1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3"/>
    <col collapsed="false" customWidth="true" hidden="false" outlineLevel="0" max="2" min="2" style="1" width="7"/>
    <col collapsed="false" customWidth="true" hidden="false" outlineLevel="0" max="3" min="3" style="1" width="18"/>
    <col collapsed="false" customWidth="true" hidden="false" outlineLevel="0" max="4" min="4" style="1" width="13"/>
    <col collapsed="false" customWidth="true" hidden="false" outlineLevel="0" max="6" min="5" style="1" width="14"/>
  </cols>
  <sheetData>
    <row r="1" customFormat="false" ht="15" hidden="false" customHeight="true" outlineLevel="0" collapsed="false">
      <c r="A1" s="2" t="s">
        <v>101</v>
      </c>
      <c r="B1" s="2"/>
      <c r="C1" s="2"/>
      <c r="D1" s="2"/>
      <c r="E1" s="2"/>
      <c r="F1" s="2"/>
    </row>
    <row r="3" customFormat="false" ht="15" hidden="false" customHeight="true" outlineLevel="0" collapsed="false">
      <c r="A3" s="3" t="s">
        <v>102</v>
      </c>
      <c r="B3" s="35" t="n">
        <v>6</v>
      </c>
    </row>
    <row r="4" customFormat="false" ht="15" hidden="false" customHeight="true" outlineLevel="0" collapsed="false">
      <c r="A4" s="3" t="s">
        <v>103</v>
      </c>
      <c r="B4" s="4" t="n">
        <v>3000000</v>
      </c>
    </row>
    <row r="6" customFormat="false" ht="23.25" hidden="false" customHeight="true" outlineLevel="0" collapsed="false">
      <c r="A6" s="11" t="s">
        <v>85</v>
      </c>
      <c r="B6" s="11" t="s">
        <v>104</v>
      </c>
      <c r="C6" s="11" t="s">
        <v>105</v>
      </c>
      <c r="D6" s="11" t="s">
        <v>106</v>
      </c>
      <c r="E6" s="11" t="s">
        <v>15</v>
      </c>
      <c r="F6" s="11" t="s">
        <v>107</v>
      </c>
    </row>
    <row r="7" customFormat="false" ht="15" hidden="false" customHeight="true" outlineLevel="0" collapsed="false">
      <c r="A7" s="29" t="n">
        <v>46203</v>
      </c>
      <c r="B7" s="26" t="n">
        <v>1</v>
      </c>
      <c r="C7" s="36" t="n">
        <v>-1017123.29</v>
      </c>
      <c r="D7" s="27" t="n">
        <f aca="false">$B$3</f>
        <v>6</v>
      </c>
      <c r="E7" s="16" t="n">
        <f aca="false">ROUND(IF(C7&lt;0,-C7*$B$3/100*B7/365,0),2)</f>
        <v>167.2</v>
      </c>
      <c r="F7" s="3" t="str">
        <f aca="false">IF(C7&gt;=0,"—",IF(-C7&gt;$B$4,"Over Limit","Within Limit"))</f>
        <v>Within Limit</v>
      </c>
    </row>
    <row r="8" customFormat="false" ht="15" hidden="false" customHeight="true" outlineLevel="0" collapsed="false">
      <c r="A8" s="29" t="n">
        <v>46239</v>
      </c>
      <c r="B8" s="26" t="n">
        <v>5</v>
      </c>
      <c r="C8" s="30" t="n">
        <v>0</v>
      </c>
      <c r="D8" s="27" t="n">
        <f aca="false">$B$3</f>
        <v>6</v>
      </c>
      <c r="E8" s="16" t="n">
        <f aca="false">ROUND(IF(C8&lt;0,-C8*$B$3/100*B8/365,0),2)</f>
        <v>0</v>
      </c>
      <c r="F8" s="3" t="str">
        <f aca="false">IF(C8&gt;=0,"—",IF(-C8&gt;$B$4,"Over Limit","Within Limit"))</f>
        <v>—</v>
      </c>
    </row>
    <row r="9" customFormat="false" ht="15" hidden="false" customHeight="true" outlineLevel="0" collapsed="false">
      <c r="A9" s="29" t="n">
        <v>46244</v>
      </c>
      <c r="B9" s="26" t="n">
        <v>19</v>
      </c>
      <c r="C9" s="30" t="n">
        <v>0</v>
      </c>
      <c r="D9" s="27" t="n">
        <f aca="false">$B$3</f>
        <v>6</v>
      </c>
      <c r="E9" s="16" t="n">
        <f aca="false">ROUND(IF(C9&lt;0,-C9*$B$3/100*B9/365,0),2)</f>
        <v>0</v>
      </c>
      <c r="F9" s="3" t="str">
        <f aca="false">IF(C9&gt;=0,"—",IF(-C9&gt;$B$4,"Over Limit","Within Limit"))</f>
        <v>—</v>
      </c>
    </row>
    <row r="10" customFormat="false" ht="15" hidden="false" customHeight="true" outlineLevel="0" collapsed="false">
      <c r="A10" s="29" t="n">
        <v>46263</v>
      </c>
      <c r="B10" s="26" t="n">
        <v>3</v>
      </c>
      <c r="C10" s="36" t="n">
        <v>-3019409.59</v>
      </c>
      <c r="D10" s="27" t="n">
        <f aca="false">$B$3</f>
        <v>6</v>
      </c>
      <c r="E10" s="16" t="n">
        <f aca="false">ROUND(IF(C10&lt;0,-C10*$B$3/100*B10/365,0),2)</f>
        <v>1489.02</v>
      </c>
      <c r="F10" s="3" t="str">
        <f aca="false">IF(C10&gt;=0,"—",IF(-C10&gt;$B$4,"Over Limit","Within Limit"))</f>
        <v>Over Limit</v>
      </c>
    </row>
    <row r="11" customFormat="false" ht="15" hidden="false" customHeight="true" outlineLevel="0" collapsed="false">
      <c r="A11" s="29" t="n">
        <v>46323</v>
      </c>
      <c r="B11" s="26" t="n">
        <v>1</v>
      </c>
      <c r="C11" s="36" t="n">
        <v>-6333332.88</v>
      </c>
      <c r="D11" s="27" t="n">
        <f aca="false">$B$3</f>
        <v>6</v>
      </c>
      <c r="E11" s="16" t="n">
        <f aca="false">ROUND(IF(C11&lt;0,-C11*$B$3/100*B11/365,0),2)</f>
        <v>1041.1</v>
      </c>
      <c r="F11" s="3" t="str">
        <f aca="false">IF(C11&gt;=0,"—",IF(-C11&gt;$B$4,"Over Limit","Within Limit"))</f>
        <v>Over Limit</v>
      </c>
    </row>
    <row r="12" customFormat="false" ht="15" hidden="false" customHeight="true" outlineLevel="0" collapsed="false">
      <c r="D12" s="37" t="s">
        <v>108</v>
      </c>
      <c r="E12" s="9" t="n">
        <f aca="false">SUM(E7:E11)</f>
        <v>2697.32</v>
      </c>
    </row>
    <row r="13" customFormat="false" ht="15" hidden="false" customHeight="true" outlineLevel="0" collapsed="false">
      <c r="D13" s="37" t="s">
        <v>109</v>
      </c>
      <c r="E13" s="15" t="n">
        <f aca="false">C11</f>
        <v>-6333332.88</v>
      </c>
    </row>
    <row r="14" customFormat="false" ht="15" hidden="false" customHeight="true" outlineLevel="0" collapsed="false">
      <c r="D14" s="37" t="s">
        <v>110</v>
      </c>
      <c r="E14" s="38" t="n">
        <f aca="false">E13-E12</f>
        <v>-6336030.2</v>
      </c>
    </row>
    <row r="16" customFormat="false" ht="11.25" hidden="false" customHeight="true" outlineLevel="0" collapsed="false">
      <c r="A16" s="28" t="s">
        <v>111</v>
      </c>
      <c r="B16" s="28"/>
      <c r="C16" s="28"/>
      <c r="D16" s="28"/>
      <c r="E16" s="28"/>
      <c r="F16" s="28"/>
    </row>
  </sheetData>
  <mergeCells count="2">
    <mergeCell ref="A1:F1"/>
    <mergeCell ref="A16:F1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8"/>
    <col collapsed="false" customWidth="true" hidden="false" outlineLevel="0" max="3" min="2" style="1" width="12"/>
    <col collapsed="false" customWidth="true" hidden="false" outlineLevel="0" max="4" min="4" style="1" width="6"/>
    <col collapsed="false" customWidth="true" hidden="false" outlineLevel="0" max="6" min="5" style="1" width="13"/>
    <col collapsed="false" customWidth="true" hidden="false" outlineLevel="0" max="7" min="7" style="1" width="17"/>
    <col collapsed="false" customWidth="true" hidden="false" outlineLevel="0" max="8" min="8" style="1" width="16"/>
  </cols>
  <sheetData>
    <row r="1" customFormat="false" ht="15" hidden="false" customHeight="true" outlineLevel="0" collapsed="false">
      <c r="A1" s="2" t="s">
        <v>112</v>
      </c>
      <c r="B1" s="2"/>
      <c r="C1" s="2"/>
      <c r="D1" s="2"/>
      <c r="E1" s="2"/>
      <c r="F1" s="2"/>
      <c r="G1" s="2"/>
      <c r="H1" s="2"/>
      <c r="I1" s="2"/>
    </row>
    <row r="3" customFormat="false" ht="15" hidden="false" customHeight="true" outlineLevel="0" collapsed="false">
      <c r="A3" s="3" t="s">
        <v>1</v>
      </c>
      <c r="B3" s="4" t="n">
        <v>3500000</v>
      </c>
    </row>
    <row r="4" customFormat="false" ht="15" hidden="false" customHeight="true" outlineLevel="0" collapsed="false">
      <c r="A4" s="3" t="s">
        <v>102</v>
      </c>
      <c r="B4" s="35" t="n">
        <v>5</v>
      </c>
    </row>
    <row r="5" customFormat="false" ht="15" hidden="false" customHeight="true" outlineLevel="0" collapsed="false">
      <c r="A5" s="3" t="s">
        <v>70</v>
      </c>
      <c r="B5" s="10" t="n">
        <v>46266</v>
      </c>
    </row>
    <row r="6" customFormat="false" ht="15" hidden="false" customHeight="true" outlineLevel="0" collapsed="false">
      <c r="A6" s="3" t="s">
        <v>72</v>
      </c>
      <c r="B6" s="10" t="n">
        <v>46356</v>
      </c>
    </row>
    <row r="8" customFormat="false" ht="23.25" hidden="false" customHeight="true" outlineLevel="0" collapsed="false">
      <c r="A8" s="11" t="s">
        <v>113</v>
      </c>
      <c r="B8" s="11" t="s">
        <v>114</v>
      </c>
      <c r="C8" s="11" t="s">
        <v>115</v>
      </c>
      <c r="D8" s="11" t="s">
        <v>116</v>
      </c>
      <c r="E8" s="11" t="s">
        <v>106</v>
      </c>
      <c r="F8" s="11" t="s">
        <v>15</v>
      </c>
      <c r="G8" s="11" t="s">
        <v>117</v>
      </c>
      <c r="H8" s="11" t="s">
        <v>118</v>
      </c>
    </row>
    <row r="9" customFormat="false" ht="15" hidden="false" customHeight="true" outlineLevel="0" collapsed="false">
      <c r="A9" s="3" t="n">
        <v>0</v>
      </c>
      <c r="B9" s="12" t="n">
        <f aca="false">$B$5</f>
        <v>46266</v>
      </c>
      <c r="C9" s="12" t="n">
        <f aca="false">$B$5</f>
        <v>46266</v>
      </c>
      <c r="D9" s="3" t="s">
        <v>94</v>
      </c>
      <c r="E9" s="3" t="s">
        <v>94</v>
      </c>
      <c r="F9" s="3" t="s">
        <v>94</v>
      </c>
      <c r="G9" s="13" t="n">
        <f aca="false">$B$3</f>
        <v>3500000</v>
      </c>
      <c r="H9" s="13" t="n">
        <f aca="false">ROUND($B$3*$B$4/100*($B$6-$B$5)/365,2)</f>
        <v>43150.68</v>
      </c>
    </row>
    <row r="10" customFormat="false" ht="15" hidden="false" customHeight="true" outlineLevel="0" collapsed="false">
      <c r="A10" s="3" t="n">
        <f aca="false">IF(C9&gt;=$B$6,"",1)</f>
        <v>1</v>
      </c>
      <c r="B10" s="12" t="n">
        <f aca="false">IF(C9&gt;=$B$6,"",C9)</f>
        <v>46266</v>
      </c>
      <c r="C10" s="12" t="n">
        <f aca="false">IF(C9&gt;=$B$6,"",MIN(EOMONTH($B$5,0),$B$6))</f>
        <v>46295</v>
      </c>
      <c r="D10" s="3" t="n">
        <f aca="false">IF(C9&gt;=$B$6,"",C10-B10)</f>
        <v>29</v>
      </c>
      <c r="E10" s="27" t="n">
        <f aca="false">IF(C9&gt;=$B$6,"",$B$4)</f>
        <v>5</v>
      </c>
      <c r="F10" s="16" t="n">
        <f aca="false">IF(C9&gt;=$B$6,"",ROUND($B$3*$B$4/100*D10/365,2))</f>
        <v>13904.11</v>
      </c>
      <c r="G10" s="13" t="n">
        <f aca="false">IF(C9&gt;=$B$6,"",$B$3)</f>
        <v>3500000</v>
      </c>
      <c r="H10" s="20" t="n">
        <f aca="false">IF(C9&gt;=$B$6,"",MAX(0,H9-F10))</f>
        <v>29246.57</v>
      </c>
    </row>
    <row r="11" customFormat="false" ht="15" hidden="false" customHeight="true" outlineLevel="0" collapsed="false">
      <c r="A11" s="3" t="n">
        <f aca="false">IF(C10&gt;=$B$6,"",2)</f>
        <v>2</v>
      </c>
      <c r="B11" s="12" t="n">
        <f aca="false">IF(C10&gt;=$B$6,"",C10)</f>
        <v>46295</v>
      </c>
      <c r="C11" s="12" t="n">
        <f aca="false">IF(C10&gt;=$B$6,"",MIN(EOMONTH($B$5,1),$B$6))</f>
        <v>46326</v>
      </c>
      <c r="D11" s="3" t="n">
        <f aca="false">IF(C10&gt;=$B$6,"",C11-B11)</f>
        <v>31</v>
      </c>
      <c r="E11" s="27" t="n">
        <f aca="false">IF(C10&gt;=$B$6,"",$B$4)</f>
        <v>5</v>
      </c>
      <c r="F11" s="16" t="n">
        <f aca="false">IF(C10&gt;=$B$6,"",ROUND($B$3*$B$4/100*D11/365,2))</f>
        <v>14863.01</v>
      </c>
      <c r="G11" s="13" t="n">
        <f aca="false">IF(C10&gt;=$B$6,"",$B$3)</f>
        <v>3500000</v>
      </c>
      <c r="H11" s="20" t="n">
        <f aca="false">IF(C10&gt;=$B$6,"",MAX(0,H10-F11))</f>
        <v>14383.56</v>
      </c>
    </row>
    <row r="12" customFormat="false" ht="15" hidden="false" customHeight="true" outlineLevel="0" collapsed="false">
      <c r="A12" s="3" t="n">
        <f aca="false">IF(C11&gt;=$B$6,"",3)</f>
        <v>3</v>
      </c>
      <c r="B12" s="12" t="n">
        <f aca="false">IF(C11&gt;=$B$6,"",C11)</f>
        <v>46326</v>
      </c>
      <c r="C12" s="12" t="n">
        <f aca="false">IF(C11&gt;=$B$6,"",MIN(EOMONTH($B$5,2),$B$6))</f>
        <v>46356</v>
      </c>
      <c r="D12" s="3" t="n">
        <f aca="false">IF(C11&gt;=$B$6,"",C12-B12)</f>
        <v>30</v>
      </c>
      <c r="E12" s="27" t="n">
        <f aca="false">IF(C11&gt;=$B$6,"",$B$4)</f>
        <v>5</v>
      </c>
      <c r="F12" s="16" t="n">
        <f aca="false">IF(C11&gt;=$B$6,"",ROUND($B$3*$B$4/100*D12/365,2))</f>
        <v>14383.56</v>
      </c>
      <c r="G12" s="13" t="n">
        <f aca="false">IF(C11&gt;=$B$6,"",$B$3)</f>
        <v>3500000</v>
      </c>
      <c r="H12" s="20" t="n">
        <f aca="false">IF(C11&gt;=$B$6,"",MAX(0,H11-F12))</f>
        <v>0</v>
      </c>
    </row>
    <row r="13" customFormat="false" ht="15" hidden="false" customHeight="true" outlineLevel="0" collapsed="false">
      <c r="A13" s="3" t="str">
        <f aca="false">IF(C12&gt;=$B$6,"",4)</f>
        <v/>
      </c>
      <c r="B13" s="12" t="str">
        <f aca="false">IF(C12&gt;=$B$6,"",C12)</f>
        <v/>
      </c>
      <c r="C13" s="12" t="str">
        <f aca="false">IF(C12&gt;=$B$6,"",MIN(EOMONTH($B$5,3),$B$6))</f>
        <v/>
      </c>
      <c r="D13" s="3" t="str">
        <f aca="false">IF(C12&gt;=$B$6,"",C13-B13)</f>
        <v/>
      </c>
      <c r="E13" s="27" t="str">
        <f aca="false">IF(C12&gt;=$B$6,"",$B$4)</f>
        <v/>
      </c>
      <c r="F13" s="16" t="str">
        <f aca="false">IF(C12&gt;=$B$6,"",ROUND($B$3*$B$4/100*D13/365,2))</f>
        <v/>
      </c>
      <c r="G13" s="13" t="str">
        <f aca="false">IF(C12&gt;=$B$6,"",$B$3)</f>
        <v/>
      </c>
      <c r="H13" s="20" t="str">
        <f aca="false">IF(C12&gt;=$B$6,"",MAX(0,H12-F13))</f>
        <v/>
      </c>
    </row>
    <row r="14" customFormat="false" ht="15" hidden="false" customHeight="true" outlineLevel="0" collapsed="false">
      <c r="A14" s="3" t="str">
        <f aca="false">IF(C13&gt;=$B$6,"",5)</f>
        <v/>
      </c>
      <c r="B14" s="12" t="str">
        <f aca="false">IF(C13&gt;=$B$6,"",C13)</f>
        <v/>
      </c>
      <c r="C14" s="12" t="str">
        <f aca="false">IF(C13&gt;=$B$6,"",MIN(EOMONTH($B$5,4),$B$6))</f>
        <v/>
      </c>
      <c r="D14" s="3" t="str">
        <f aca="false">IF(C13&gt;=$B$6,"",C14-B14)</f>
        <v/>
      </c>
      <c r="E14" s="27" t="str">
        <f aca="false">IF(C13&gt;=$B$6,"",$B$4)</f>
        <v/>
      </c>
      <c r="F14" s="16" t="str">
        <f aca="false">IF(C13&gt;=$B$6,"",ROUND($B$3*$B$4/100*D14/365,2))</f>
        <v/>
      </c>
      <c r="G14" s="13" t="str">
        <f aca="false">IF(C13&gt;=$B$6,"",$B$3)</f>
        <v/>
      </c>
      <c r="H14" s="20" t="str">
        <f aca="false">IF(C13&gt;=$B$6,"",MAX(0,H13-F14))</f>
        <v/>
      </c>
    </row>
    <row r="15" customFormat="false" ht="15" hidden="false" customHeight="true" outlineLevel="0" collapsed="false">
      <c r="A15" s="3" t="str">
        <f aca="false">IF(C14&gt;=$B$6,"",6)</f>
        <v/>
      </c>
      <c r="B15" s="12" t="str">
        <f aca="false">IF(C14&gt;=$B$6,"",C14)</f>
        <v/>
      </c>
      <c r="C15" s="12" t="str">
        <f aca="false">IF(C14&gt;=$B$6,"",MIN(EOMONTH($B$5,5),$B$6))</f>
        <v/>
      </c>
      <c r="D15" s="3" t="str">
        <f aca="false">IF(C14&gt;=$B$6,"",C15-B15)</f>
        <v/>
      </c>
      <c r="E15" s="27" t="str">
        <f aca="false">IF(C14&gt;=$B$6,"",$B$4)</f>
        <v/>
      </c>
      <c r="F15" s="16" t="str">
        <f aca="false">IF(C14&gt;=$B$6,"",ROUND($B$3*$B$4/100*D15/365,2))</f>
        <v/>
      </c>
      <c r="G15" s="13" t="str">
        <f aca="false">IF(C14&gt;=$B$6,"",$B$3)</f>
        <v/>
      </c>
      <c r="H15" s="20" t="str">
        <f aca="false">IF(C14&gt;=$B$6,"",MAX(0,H14-F15))</f>
        <v/>
      </c>
    </row>
    <row r="16" customFormat="false" ht="15" hidden="false" customHeight="true" outlineLevel="0" collapsed="false">
      <c r="A16" s="3" t="str">
        <f aca="false">IF(C15&gt;=$B$6,"",7)</f>
        <v/>
      </c>
      <c r="B16" s="12" t="str">
        <f aca="false">IF(C15&gt;=$B$6,"",C15)</f>
        <v/>
      </c>
      <c r="C16" s="12" t="str">
        <f aca="false">IF(C15&gt;=$B$6,"",MIN(EOMONTH($B$5,6),$B$6))</f>
        <v/>
      </c>
      <c r="D16" s="3" t="str">
        <f aca="false">IF(C15&gt;=$B$6,"",C16-B16)</f>
        <v/>
      </c>
      <c r="E16" s="27" t="str">
        <f aca="false">IF(C15&gt;=$B$6,"",$B$4)</f>
        <v/>
      </c>
      <c r="F16" s="16" t="str">
        <f aca="false">IF(C15&gt;=$B$6,"",ROUND($B$3*$B$4/100*D16/365,2))</f>
        <v/>
      </c>
      <c r="G16" s="13" t="str">
        <f aca="false">IF(C15&gt;=$B$6,"",$B$3)</f>
        <v/>
      </c>
      <c r="H16" s="20" t="str">
        <f aca="false">IF(C15&gt;=$B$6,"",MAX(0,H15-F16))</f>
        <v/>
      </c>
    </row>
    <row r="17" customFormat="false" ht="15" hidden="false" customHeight="true" outlineLevel="0" collapsed="false">
      <c r="A17" s="3" t="str">
        <f aca="false">IF(C16&gt;=$B$6,"",8)</f>
        <v/>
      </c>
      <c r="B17" s="12" t="str">
        <f aca="false">IF(C16&gt;=$B$6,"",C16)</f>
        <v/>
      </c>
      <c r="C17" s="12" t="str">
        <f aca="false">IF(C16&gt;=$B$6,"",MIN(EOMONTH($B$5,7),$B$6))</f>
        <v/>
      </c>
      <c r="D17" s="3" t="str">
        <f aca="false">IF(C16&gt;=$B$6,"",C17-B17)</f>
        <v/>
      </c>
      <c r="E17" s="27" t="str">
        <f aca="false">IF(C16&gt;=$B$6,"",$B$4)</f>
        <v/>
      </c>
      <c r="F17" s="16" t="str">
        <f aca="false">IF(C16&gt;=$B$6,"",ROUND($B$3*$B$4/100*D17/365,2))</f>
        <v/>
      </c>
      <c r="G17" s="13" t="str">
        <f aca="false">IF(C16&gt;=$B$6,"",$B$3)</f>
        <v/>
      </c>
      <c r="H17" s="20" t="str">
        <f aca="false">IF(C16&gt;=$B$6,"",MAX(0,H16-F17))</f>
        <v/>
      </c>
    </row>
    <row r="18" customFormat="false" ht="15" hidden="false" customHeight="true" outlineLevel="0" collapsed="false">
      <c r="C18" s="37" t="s">
        <v>119</v>
      </c>
      <c r="D18" s="8" t="n">
        <f aca="false">SUM(D10:D17)</f>
        <v>90</v>
      </c>
      <c r="F18" s="9" t="n">
        <f aca="false">SUM(F10:F17)</f>
        <v>43150.68</v>
      </c>
    </row>
    <row r="20" customFormat="false" ht="15" hidden="false" customHeight="true" outlineLevel="0" collapsed="false">
      <c r="A20" s="28" t="s">
        <v>120</v>
      </c>
      <c r="B20" s="28"/>
      <c r="C20" s="28"/>
      <c r="D20" s="28"/>
      <c r="E20" s="28"/>
      <c r="F20" s="28"/>
      <c r="G20" s="28"/>
      <c r="H20" s="28"/>
    </row>
  </sheetData>
  <mergeCells count="2">
    <mergeCell ref="A1:I1"/>
    <mergeCell ref="A20:H2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8"/>
    <col collapsed="false" customWidth="true" hidden="false" outlineLevel="0" max="2" min="2" style="1" width="14"/>
    <col collapsed="false" customWidth="true" hidden="false" outlineLevel="0" max="3" min="3" style="1" width="16"/>
    <col collapsed="false" customWidth="true" hidden="false" outlineLevel="0" max="4" min="4" style="1" width="22"/>
    <col collapsed="false" customWidth="true" hidden="false" outlineLevel="0" max="5" min="5" style="1" width="42"/>
  </cols>
  <sheetData>
    <row r="1" customFormat="false" ht="15" hidden="false" customHeight="true" outlineLevel="0" collapsed="false">
      <c r="A1" s="2" t="s">
        <v>121</v>
      </c>
      <c r="B1" s="2"/>
      <c r="C1" s="2"/>
      <c r="D1" s="2"/>
      <c r="E1" s="2"/>
      <c r="F1" s="2"/>
    </row>
    <row r="3" customFormat="false" ht="15" hidden="false" customHeight="true" outlineLevel="0" collapsed="false">
      <c r="A3" s="3" t="s">
        <v>122</v>
      </c>
      <c r="B3" s="4" t="n">
        <v>100000</v>
      </c>
    </row>
    <row r="4" customFormat="false" ht="15" hidden="false" customHeight="true" outlineLevel="0" collapsed="false">
      <c r="A4" s="3" t="s">
        <v>123</v>
      </c>
      <c r="B4" s="35" t="n">
        <v>35.5</v>
      </c>
    </row>
    <row r="5" customFormat="false" ht="15" hidden="false" customHeight="true" outlineLevel="0" collapsed="false">
      <c r="A5" s="3" t="s">
        <v>124</v>
      </c>
      <c r="B5" s="39" t="s">
        <v>125</v>
      </c>
    </row>
    <row r="6" customFormat="false" ht="15" hidden="false" customHeight="true" outlineLevel="0" collapsed="false">
      <c r="A6" s="8" t="s">
        <v>126</v>
      </c>
      <c r="B6" s="9" t="n">
        <f aca="false">ROUND($B$3*$B$4,2)</f>
        <v>3550000</v>
      </c>
    </row>
    <row r="8" customFormat="false" ht="34.5" hidden="false" customHeight="true" outlineLevel="0" collapsed="false">
      <c r="A8" s="11" t="s">
        <v>127</v>
      </c>
      <c r="B8" s="11" t="s">
        <v>128</v>
      </c>
      <c r="C8" s="11" t="s">
        <v>129</v>
      </c>
      <c r="D8" s="11" t="s">
        <v>130</v>
      </c>
      <c r="E8" s="11" t="s">
        <v>131</v>
      </c>
    </row>
    <row r="9" customFormat="false" ht="15" hidden="false" customHeight="true" outlineLevel="0" collapsed="false">
      <c r="A9" s="29" t="n">
        <v>46295</v>
      </c>
      <c r="B9" s="40" t="n">
        <v>36</v>
      </c>
      <c r="C9" s="13" t="n">
        <f aca="false">ROUND($B$3*B9,2)</f>
        <v>3600000</v>
      </c>
      <c r="D9" s="41" t="n">
        <f aca="false">ROUND(IF($B$5="Sell",$B$6-C9,C9-$B$6),2)</f>
        <v>50000</v>
      </c>
      <c r="E9" s="3" t="str">
        <f aca="false">IF(D9&gt;0,"Dr สินทรัพย์ FXF / Cr FX Gain (4929103)",IF(D9&lt;0,"Dr FX Loss (5439907) / Cr หนี้สิน FXF","ไม่มีผลต่าง"))</f>
        <v>Dr สินทรัพย์ FXF / Cr FX Gain (4929103)</v>
      </c>
    </row>
    <row r="10" customFormat="false" ht="15" hidden="false" customHeight="true" outlineLevel="0" collapsed="false">
      <c r="A10" s="29" t="n">
        <v>46326</v>
      </c>
      <c r="B10" s="40" t="n">
        <v>35.2</v>
      </c>
      <c r="C10" s="13" t="n">
        <f aca="false">ROUND($B$3*B10,2)</f>
        <v>3520000</v>
      </c>
      <c r="D10" s="41" t="n">
        <f aca="false">ROUND(IF($B$5="Sell",$B$6-C10,C10-$B$6),2)</f>
        <v>-30000</v>
      </c>
      <c r="E10" s="3" t="str">
        <f aca="false">IF(D10&gt;0,"Dr สินทรัพย์ FXF / Cr FX Gain (4929103)",IF(D10&lt;0,"Dr FX Loss (5439907) / Cr หนี้สิน FXF","ไม่มีผลต่าง"))</f>
        <v>Dr FX Loss (5439907) / Cr หนี้สิน FXF</v>
      </c>
    </row>
    <row r="11" customFormat="false" ht="15" hidden="false" customHeight="true" outlineLevel="0" collapsed="false">
      <c r="A11" s="29" t="n">
        <v>46356</v>
      </c>
      <c r="B11" s="40" t="n">
        <v>35.8</v>
      </c>
      <c r="C11" s="13" t="n">
        <f aca="false">ROUND($B$3*B11,2)</f>
        <v>3580000</v>
      </c>
      <c r="D11" s="41" t="n">
        <f aca="false">ROUND(IF($B$5="Sell",$B$6-C11,C11-$B$6),2)</f>
        <v>30000</v>
      </c>
      <c r="E11" s="3" t="str">
        <f aca="false">IF(D11&gt;0,"Dr สินทรัพย์ FXF / Cr FX Gain (4929103)",IF(D11&lt;0,"Dr FX Loss (5439907) / Cr หนี้สิน FXF","ไม่มีผลต่าง"))</f>
        <v>Dr สินทรัพย์ FXF / Cr FX Gain (4929103)</v>
      </c>
    </row>
    <row r="13" customFormat="false" ht="15" hidden="false" customHeight="true" outlineLevel="0" collapsed="false">
      <c r="A13" s="42" t="s">
        <v>132</v>
      </c>
      <c r="B13" s="42"/>
      <c r="C13" s="42"/>
      <c r="D13" s="42"/>
      <c r="E13" s="42"/>
    </row>
    <row r="14" customFormat="false" ht="15" hidden="false" customHeight="true" outlineLevel="0" collapsed="false">
      <c r="A14" s="28" t="s">
        <v>133</v>
      </c>
      <c r="B14" s="28"/>
      <c r="C14" s="28"/>
      <c r="D14" s="28"/>
      <c r="E14" s="28"/>
    </row>
  </sheetData>
  <mergeCells count="3">
    <mergeCell ref="A1:F1"/>
    <mergeCell ref="A13:E13"/>
    <mergeCell ref="A14:E1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6"/>
    <col collapsed="false" customWidth="true" hidden="false" outlineLevel="0" max="2" min="2" style="1" width="7"/>
    <col collapsed="false" customWidth="true" hidden="false" outlineLevel="0" max="3" min="3" style="1" width="10"/>
    <col collapsed="false" customWidth="true" hidden="false" outlineLevel="0" max="7" min="4" style="1" width="14"/>
    <col collapsed="false" customWidth="true" hidden="false" outlineLevel="0" max="8" min="8" style="1" width="10"/>
  </cols>
  <sheetData>
    <row r="1" customFormat="false" ht="15" hidden="false" customHeight="true" outlineLevel="0" collapsed="false">
      <c r="A1" s="2" t="s">
        <v>134</v>
      </c>
      <c r="B1" s="2"/>
      <c r="C1" s="2"/>
      <c r="D1" s="2"/>
      <c r="E1" s="2"/>
      <c r="F1" s="2"/>
      <c r="G1" s="2"/>
      <c r="H1" s="2"/>
    </row>
    <row r="3" customFormat="false" ht="23.25" hidden="false" customHeight="true" outlineLevel="0" collapsed="false">
      <c r="A3" s="3" t="s">
        <v>135</v>
      </c>
      <c r="B3" s="10" t="n">
        <v>46295</v>
      </c>
      <c r="D3" s="11" t="s">
        <v>136</v>
      </c>
      <c r="E3" s="11"/>
    </row>
    <row r="4" customFormat="false" ht="15" hidden="false" customHeight="true" outlineLevel="0" collapsed="false">
      <c r="D4" s="3" t="s">
        <v>137</v>
      </c>
      <c r="E4" s="40" t="n">
        <v>35.6</v>
      </c>
    </row>
    <row r="5" customFormat="false" ht="15" hidden="false" customHeight="true" outlineLevel="0" collapsed="false">
      <c r="D5" s="3" t="s">
        <v>138</v>
      </c>
      <c r="E5" s="40" t="n">
        <v>0.24</v>
      </c>
    </row>
    <row r="6" customFormat="false" ht="15" hidden="false" customHeight="true" outlineLevel="0" collapsed="false">
      <c r="D6" s="3" t="s">
        <v>139</v>
      </c>
      <c r="E6" s="40" t="n">
        <v>38.5</v>
      </c>
    </row>
    <row r="8" customFormat="false" ht="23.25" hidden="false" customHeight="true" outlineLevel="0" collapsed="false">
      <c r="A8" s="11" t="s">
        <v>140</v>
      </c>
      <c r="B8" s="11" t="s">
        <v>141</v>
      </c>
      <c r="C8" s="11" t="s">
        <v>142</v>
      </c>
      <c r="D8" s="11" t="s">
        <v>143</v>
      </c>
      <c r="E8" s="11" t="s">
        <v>144</v>
      </c>
      <c r="F8" s="11" t="s">
        <v>145</v>
      </c>
      <c r="G8" s="11" t="s">
        <v>146</v>
      </c>
      <c r="H8" s="11" t="s">
        <v>107</v>
      </c>
    </row>
    <row r="9" customFormat="false" ht="15" hidden="false" customHeight="true" outlineLevel="0" collapsed="false">
      <c r="A9" s="26" t="s">
        <v>147</v>
      </c>
      <c r="B9" s="26" t="s">
        <v>137</v>
      </c>
      <c r="C9" s="26" t="s">
        <v>125</v>
      </c>
      <c r="D9" s="30" t="n">
        <v>250000</v>
      </c>
      <c r="E9" s="40" t="n">
        <v>35.4</v>
      </c>
      <c r="F9" s="43" t="n">
        <f aca="false">VLOOKUP(B9,$D$4:$E$6,2,FALSE())</f>
        <v>35.6</v>
      </c>
      <c r="G9" s="41" t="n">
        <f aca="false">ROUND(IF(C9="Sell",D9*(E9-F9),D9*(F9-E9)),2)</f>
        <v>50000</v>
      </c>
      <c r="H9" s="3" t="str">
        <f aca="false">IF(F9&gt;0,"ready","—")</f>
        <v>ready</v>
      </c>
    </row>
    <row r="10" customFormat="false" ht="15" hidden="false" customHeight="true" outlineLevel="0" collapsed="false">
      <c r="A10" s="26" t="s">
        <v>148</v>
      </c>
      <c r="B10" s="26" t="s">
        <v>137</v>
      </c>
      <c r="C10" s="26" t="s">
        <v>125</v>
      </c>
      <c r="D10" s="30" t="n">
        <v>100000</v>
      </c>
      <c r="E10" s="40" t="n">
        <v>35.5</v>
      </c>
      <c r="F10" s="43" t="n">
        <f aca="false">VLOOKUP(B10,$D$4:$E$6,2,FALSE())</f>
        <v>35.6</v>
      </c>
      <c r="G10" s="41" t="n">
        <f aca="false">ROUND(IF(C10="Sell",D10*(E10-F10),D10*(F10-E10)),2)</f>
        <v>10000</v>
      </c>
      <c r="H10" s="3" t="str">
        <f aca="false">IF(F10&gt;0,"ready","—")</f>
        <v>ready</v>
      </c>
    </row>
    <row r="11" customFormat="false" ht="15" hidden="false" customHeight="true" outlineLevel="0" collapsed="false">
      <c r="A11" s="26" t="s">
        <v>149</v>
      </c>
      <c r="B11" s="26" t="s">
        <v>139</v>
      </c>
      <c r="C11" s="26" t="s">
        <v>150</v>
      </c>
      <c r="D11" s="30" t="n">
        <v>50000</v>
      </c>
      <c r="E11" s="40" t="n">
        <v>38.8</v>
      </c>
      <c r="F11" s="43" t="n">
        <f aca="false">VLOOKUP(B11,$D$4:$E$6,2,FALSE())</f>
        <v>38.5</v>
      </c>
      <c r="G11" s="41" t="n">
        <f aca="false">ROUND(IF(C11="Sell",D11*(E11-F11),D11*(F11-E11)),2)</f>
        <v>15000</v>
      </c>
      <c r="H11" s="3" t="str">
        <f aca="false">IF(F11&gt;0,"ready","—")</f>
        <v>ready</v>
      </c>
    </row>
    <row r="12" customFormat="false" ht="15" hidden="false" customHeight="true" outlineLevel="0" collapsed="false">
      <c r="F12" s="37" t="s">
        <v>151</v>
      </c>
      <c r="G12" s="9" t="n">
        <f aca="false">SUM(G9:G11)</f>
        <v>75000</v>
      </c>
    </row>
    <row r="14" customFormat="false" ht="11.25" hidden="false" customHeight="true" outlineLevel="0" collapsed="false">
      <c r="A14" s="28" t="s">
        <v>152</v>
      </c>
      <c r="B14" s="28"/>
      <c r="C14" s="28"/>
      <c r="D14" s="28"/>
      <c r="E14" s="28"/>
      <c r="F14" s="28"/>
      <c r="G14" s="28"/>
      <c r="H14" s="28"/>
    </row>
  </sheetData>
  <mergeCells count="2">
    <mergeCell ref="A1:H1"/>
    <mergeCell ref="A14:H1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42"/>
    <col collapsed="false" customWidth="true" hidden="false" outlineLevel="0" max="2" min="2" style="1" width="16"/>
  </cols>
  <sheetData>
    <row r="1" customFormat="false" ht="15" hidden="false" customHeight="true" outlineLevel="0" collapsed="false">
      <c r="A1" s="2" t="s">
        <v>153</v>
      </c>
      <c r="B1" s="2"/>
      <c r="C1" s="2"/>
    </row>
    <row r="3" customFormat="false" ht="15" hidden="false" customHeight="true" outlineLevel="0" collapsed="false">
      <c r="A3" s="3" t="s">
        <v>154</v>
      </c>
      <c r="B3" s="7" t="n">
        <v>3500000</v>
      </c>
    </row>
    <row r="4" customFormat="false" ht="15" hidden="false" customHeight="true" outlineLevel="0" collapsed="false">
      <c r="A4" s="3" t="s">
        <v>155</v>
      </c>
      <c r="B4" s="6" t="n">
        <v>1</v>
      </c>
    </row>
    <row r="5" customFormat="false" ht="15" hidden="false" customHeight="true" outlineLevel="0" collapsed="false">
      <c r="A5" s="3" t="s">
        <v>156</v>
      </c>
      <c r="B5" s="44" t="s">
        <v>157</v>
      </c>
    </row>
    <row r="6" customFormat="false" ht="15" hidden="false" customHeight="true" outlineLevel="0" collapsed="false">
      <c r="A6" s="3" t="s">
        <v>158</v>
      </c>
      <c r="B6" s="7" t="n">
        <v>0</v>
      </c>
    </row>
    <row r="7" customFormat="false" ht="15" hidden="false" customHeight="true" outlineLevel="0" collapsed="false">
      <c r="A7" s="3" t="s">
        <v>159</v>
      </c>
      <c r="B7" s="5" t="n">
        <v>90</v>
      </c>
    </row>
    <row r="9" customFormat="false" ht="15" hidden="false" customHeight="true" outlineLevel="0" collapsed="false">
      <c r="A9" s="3" t="s">
        <v>160</v>
      </c>
      <c r="B9" s="13" t="n">
        <f aca="false">$B$3</f>
        <v>3500000</v>
      </c>
    </row>
    <row r="10" customFormat="false" ht="15" hidden="false" customHeight="true" outlineLevel="0" collapsed="false">
      <c r="A10" s="3" t="s">
        <v>161</v>
      </c>
      <c r="B10" s="13" t="n">
        <f aca="false">ROUND($B$3*$B$4/100,2)</f>
        <v>35000</v>
      </c>
    </row>
    <row r="11" customFormat="false" ht="15" hidden="false" customHeight="true" outlineLevel="0" collapsed="false">
      <c r="A11" s="3" t="s">
        <v>162</v>
      </c>
      <c r="B11" s="13" t="n">
        <f aca="false">ROUND(B10*$B$7/365,2)</f>
        <v>8630.14</v>
      </c>
    </row>
    <row r="12" customFormat="false" ht="15" hidden="false" customHeight="true" outlineLevel="0" collapsed="false">
      <c r="A12" s="3" t="s">
        <v>163</v>
      </c>
      <c r="B12" s="13" t="n">
        <f aca="false">$B$6</f>
        <v>0</v>
      </c>
    </row>
    <row r="13" customFormat="false" ht="15" hidden="false" customHeight="true" outlineLevel="0" collapsed="false">
      <c r="A13" s="8" t="s">
        <v>164</v>
      </c>
      <c r="B13" s="45" t="n">
        <f aca="false">IF(ISNUMBER(SEARCH("Engagement",$B$5)),B11+B12,B10)</f>
        <v>35000</v>
      </c>
    </row>
    <row r="15" customFormat="false" ht="11.25" hidden="false" customHeight="true" outlineLevel="0" collapsed="false">
      <c r="A15" s="42" t="s">
        <v>165</v>
      </c>
      <c r="B15" s="42"/>
      <c r="C15" s="42"/>
      <c r="D15" s="42"/>
    </row>
    <row r="17" customFormat="false" ht="11.25" hidden="false" customHeight="true" outlineLevel="0" collapsed="false">
      <c r="A17" s="46" t="s">
        <v>166</v>
      </c>
      <c r="B17" s="46"/>
      <c r="C17" s="46"/>
      <c r="D17" s="46"/>
    </row>
  </sheetData>
  <mergeCells count="3">
    <mergeCell ref="A1:C1"/>
    <mergeCell ref="A15:D15"/>
    <mergeCell ref="A17:D17"/>
  </mergeCells>
  <dataValidations count="1">
    <dataValidation allowBlank="false" errorStyle="stop" operator="between" prompt="เลือกโหมดค่าธรรมเนียม" promptTitle="FEE MODE" showDropDown="false" showErrorMessage="false" showInputMessage="false" sqref="B5" type="list">
      <formula1>"Full-term,Engagement+Pro-rated"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6"/>
    <col collapsed="false" customWidth="true" hidden="false" outlineLevel="0" max="2" min="2" style="1" width="13"/>
    <col collapsed="false" customWidth="true" hidden="false" outlineLevel="0" max="4" min="3" style="1" width="12"/>
    <col collapsed="false" customWidth="true" hidden="false" outlineLevel="0" max="5" min="5" style="1" width="6"/>
    <col collapsed="false" customWidth="true" hidden="false" outlineLevel="0" max="7" min="6" style="1" width="14"/>
  </cols>
  <sheetData>
    <row r="1" customFormat="false" ht="15" hidden="false" customHeight="true" outlineLevel="0" collapsed="false">
      <c r="A1" s="2" t="s">
        <v>167</v>
      </c>
      <c r="B1" s="2"/>
      <c r="C1" s="2"/>
      <c r="D1" s="2"/>
      <c r="E1" s="2"/>
      <c r="F1" s="2"/>
      <c r="G1" s="2"/>
    </row>
    <row r="3" customFormat="false" ht="15" hidden="false" customHeight="true" outlineLevel="0" collapsed="false">
      <c r="A3" s="3" t="s">
        <v>168</v>
      </c>
      <c r="B3" s="47" t="n">
        <f aca="false">'LC Fee'!B13</f>
        <v>35000</v>
      </c>
    </row>
    <row r="4" customFormat="false" ht="15" hidden="false" customHeight="true" outlineLevel="0" collapsed="false">
      <c r="A4" s="3" t="s">
        <v>169</v>
      </c>
      <c r="B4" s="10" t="n">
        <v>46266</v>
      </c>
    </row>
    <row r="5" customFormat="false" ht="15" hidden="false" customHeight="true" outlineLevel="0" collapsed="false">
      <c r="A5" s="3" t="s">
        <v>170</v>
      </c>
      <c r="B5" s="10" t="n">
        <v>46401</v>
      </c>
    </row>
    <row r="6" customFormat="false" ht="15" hidden="false" customHeight="true" outlineLevel="0" collapsed="false">
      <c r="A6" s="8" t="s">
        <v>171</v>
      </c>
      <c r="B6" s="48" t="n">
        <f aca="false">$B$5-$B$4</f>
        <v>135</v>
      </c>
    </row>
    <row r="7" customFormat="false" ht="15" hidden="false" customHeight="true" outlineLevel="0" collapsed="false">
      <c r="A7" s="8" t="s">
        <v>172</v>
      </c>
      <c r="B7" s="49" t="n">
        <f aca="false">$B$3/B6</f>
        <v>259.259259259259</v>
      </c>
    </row>
    <row r="9" customFormat="false" ht="23.25" hidden="false" customHeight="true" outlineLevel="0" collapsed="false">
      <c r="A9" s="11" t="s">
        <v>113</v>
      </c>
      <c r="B9" s="11" t="s">
        <v>11</v>
      </c>
      <c r="C9" s="11" t="s">
        <v>173</v>
      </c>
      <c r="D9" s="11" t="s">
        <v>174</v>
      </c>
      <c r="E9" s="11" t="s">
        <v>104</v>
      </c>
      <c r="F9" s="11" t="s">
        <v>175</v>
      </c>
      <c r="G9" s="11" t="s">
        <v>176</v>
      </c>
    </row>
    <row r="10" customFormat="false" ht="15" hidden="false" customHeight="true" outlineLevel="0" collapsed="false">
      <c r="A10" s="3" t="s">
        <v>177</v>
      </c>
      <c r="B10" s="12" t="n">
        <f aca="false">$B$4</f>
        <v>46266</v>
      </c>
      <c r="C10" s="3" t="s">
        <v>94</v>
      </c>
      <c r="D10" s="3" t="s">
        <v>94</v>
      </c>
      <c r="E10" s="3" t="s">
        <v>94</v>
      </c>
      <c r="F10" s="13" t="n">
        <f aca="false">$B$3</f>
        <v>35000</v>
      </c>
      <c r="G10" s="13" t="n">
        <f aca="false">$B$3</f>
        <v>35000</v>
      </c>
    </row>
    <row r="11" customFormat="false" ht="15" hidden="false" customHeight="true" outlineLevel="0" collapsed="false">
      <c r="A11" s="3" t="n">
        <f aca="false">IF(FALSE(),"",1)</f>
        <v>1</v>
      </c>
      <c r="B11" s="3" t="str">
        <f aca="false">IF(FALSE(),"","—")</f>
        <v>—</v>
      </c>
      <c r="C11" s="12" t="n">
        <f aca="false">IF(FALSE(),"",$B$4)</f>
        <v>46266</v>
      </c>
      <c r="D11" s="12" t="n">
        <f aca="false">IF(FALSE(),"",MIN(EOMONTH(C11,0),$B$5))</f>
        <v>46295</v>
      </c>
      <c r="E11" s="3" t="n">
        <f aca="false">IF(FALSE(),"",IF(1=1,D11-$B$4,D11-C11+1))</f>
        <v>29</v>
      </c>
      <c r="F11" s="16" t="n">
        <f aca="false">IF(FALSE(),"",IF(D11&gt;=$B$5,G10,ROUND($B$7*E11,2)))</f>
        <v>7518.52</v>
      </c>
      <c r="G11" s="19" t="n">
        <f aca="false">IF(FALSE(),"",G10-F11)</f>
        <v>27481.48</v>
      </c>
    </row>
    <row r="12" customFormat="false" ht="15" hidden="false" customHeight="true" outlineLevel="0" collapsed="false">
      <c r="A12" s="3" t="n">
        <f aca="false">IF(D11&gt;=$B$5,"",2)</f>
        <v>2</v>
      </c>
      <c r="B12" s="3" t="str">
        <f aca="false">IF(D11&gt;=$B$5,"","—")</f>
        <v>—</v>
      </c>
      <c r="C12" s="12" t="n">
        <f aca="false">IF(D11&gt;=$B$5,"",D11+1)</f>
        <v>46296</v>
      </c>
      <c r="D12" s="12" t="n">
        <f aca="false">IF(D11&gt;=$B$5,"",MIN(EOMONTH(C12,0),$B$5))</f>
        <v>46326</v>
      </c>
      <c r="E12" s="3" t="n">
        <f aca="false">IF(D11&gt;=$B$5,"",IF(2=1,D12-$B$4,D12-C12+1))</f>
        <v>31</v>
      </c>
      <c r="F12" s="16" t="n">
        <f aca="false">IF(D11&gt;=$B$5,"",IF(D12&gt;=$B$5,G11,ROUND($B$7*E12,2)))</f>
        <v>8037.04</v>
      </c>
      <c r="G12" s="19" t="n">
        <f aca="false">IF(D11&gt;=$B$5,"",G11-F12)</f>
        <v>19444.44</v>
      </c>
    </row>
    <row r="13" customFormat="false" ht="15" hidden="false" customHeight="true" outlineLevel="0" collapsed="false">
      <c r="A13" s="3" t="n">
        <f aca="false">IF(D12&gt;=$B$5,"",3)</f>
        <v>3</v>
      </c>
      <c r="B13" s="3" t="str">
        <f aca="false">IF(D12&gt;=$B$5,"","—")</f>
        <v>—</v>
      </c>
      <c r="C13" s="12" t="n">
        <f aca="false">IF(D12&gt;=$B$5,"",D12+1)</f>
        <v>46327</v>
      </c>
      <c r="D13" s="12" t="n">
        <f aca="false">IF(D12&gt;=$B$5,"",MIN(EOMONTH(C13,0),$B$5))</f>
        <v>46356</v>
      </c>
      <c r="E13" s="3" t="n">
        <f aca="false">IF(D12&gt;=$B$5,"",IF(3=1,D13-$B$4,D13-C13+1))</f>
        <v>30</v>
      </c>
      <c r="F13" s="16" t="n">
        <f aca="false">IF(D12&gt;=$B$5,"",IF(D13&gt;=$B$5,G12,ROUND($B$7*E13,2)))</f>
        <v>7777.78</v>
      </c>
      <c r="G13" s="19" t="n">
        <f aca="false">IF(D12&gt;=$B$5,"",G12-F13)</f>
        <v>11666.66</v>
      </c>
    </row>
    <row r="14" customFormat="false" ht="15" hidden="false" customHeight="true" outlineLevel="0" collapsed="false">
      <c r="A14" s="3" t="n">
        <f aca="false">IF(D13&gt;=$B$5,"",4)</f>
        <v>4</v>
      </c>
      <c r="B14" s="3" t="str">
        <f aca="false">IF(D13&gt;=$B$5,"","—")</f>
        <v>—</v>
      </c>
      <c r="C14" s="12" t="n">
        <f aca="false">IF(D13&gt;=$B$5,"",D13+1)</f>
        <v>46357</v>
      </c>
      <c r="D14" s="12" t="n">
        <f aca="false">IF(D13&gt;=$B$5,"",MIN(EOMONTH(C14,0),$B$5))</f>
        <v>46387</v>
      </c>
      <c r="E14" s="3" t="n">
        <f aca="false">IF(D13&gt;=$B$5,"",IF(4=1,D14-$B$4,D14-C14+1))</f>
        <v>31</v>
      </c>
      <c r="F14" s="16" t="n">
        <f aca="false">IF(D13&gt;=$B$5,"",IF(D14&gt;=$B$5,G13,ROUND($B$7*E14,2)))</f>
        <v>8037.04</v>
      </c>
      <c r="G14" s="19" t="n">
        <f aca="false">IF(D13&gt;=$B$5,"",G13-F14)</f>
        <v>3629.62</v>
      </c>
    </row>
    <row r="15" customFormat="false" ht="15" hidden="false" customHeight="true" outlineLevel="0" collapsed="false">
      <c r="A15" s="3" t="n">
        <f aca="false">IF(D14&gt;=$B$5,"",5)</f>
        <v>5</v>
      </c>
      <c r="B15" s="3" t="str">
        <f aca="false">IF(D14&gt;=$B$5,"","—")</f>
        <v>—</v>
      </c>
      <c r="C15" s="12" t="n">
        <f aca="false">IF(D14&gt;=$B$5,"",D14+1)</f>
        <v>46388</v>
      </c>
      <c r="D15" s="12" t="n">
        <f aca="false">IF(D14&gt;=$B$5,"",MIN(EOMONTH(C15,0),$B$5))</f>
        <v>46401</v>
      </c>
      <c r="E15" s="3" t="n">
        <f aca="false">IF(D14&gt;=$B$5,"",IF(5=1,D15-$B$4,D15-C15+1))</f>
        <v>14</v>
      </c>
      <c r="F15" s="16" t="n">
        <f aca="false">IF(D14&gt;=$B$5,"",IF(D15&gt;=$B$5,G14,ROUND($B$7*E15,2)))</f>
        <v>3629.62</v>
      </c>
      <c r="G15" s="19" t="n">
        <f aca="false">IF(D14&gt;=$B$5,"",G14-F15)</f>
        <v>0</v>
      </c>
    </row>
    <row r="16" customFormat="false" ht="15" hidden="false" customHeight="true" outlineLevel="0" collapsed="false">
      <c r="A16" s="3" t="str">
        <f aca="false">IF(D15&gt;=$B$5,"",6)</f>
        <v/>
      </c>
      <c r="B16" s="3" t="str">
        <f aca="false">IF(D15&gt;=$B$5,"","—")</f>
        <v/>
      </c>
      <c r="C16" s="12" t="str">
        <f aca="false">IF(D15&gt;=$B$5,"",D15+1)</f>
        <v/>
      </c>
      <c r="D16" s="12" t="str">
        <f aca="false">IF(D15&gt;=$B$5,"",MIN(EOMONTH(C16,0),$B$5))</f>
        <v/>
      </c>
      <c r="E16" s="3" t="str">
        <f aca="false">IF(D15&gt;=$B$5,"",IF(6=1,D16-$B$4,D16-C16+1))</f>
        <v/>
      </c>
      <c r="F16" s="16" t="str">
        <f aca="false">IF(D15&gt;=$B$5,"",IF(D16&gt;=$B$5,G15,ROUND($B$7*E16,2)))</f>
        <v/>
      </c>
      <c r="G16" s="19" t="str">
        <f aca="false">IF(D15&gt;=$B$5,"",G15-F16)</f>
        <v/>
      </c>
    </row>
    <row r="17" customFormat="false" ht="15" hidden="false" customHeight="true" outlineLevel="0" collapsed="false">
      <c r="A17" s="3" t="str">
        <f aca="false">IF(D16&gt;=$B$5,"",7)</f>
        <v/>
      </c>
      <c r="B17" s="3" t="str">
        <f aca="false">IF(D16&gt;=$B$5,"","—")</f>
        <v/>
      </c>
      <c r="C17" s="12" t="str">
        <f aca="false">IF(D16&gt;=$B$5,"",D16+1)</f>
        <v/>
      </c>
      <c r="D17" s="12" t="str">
        <f aca="false">IF(D16&gt;=$B$5,"",MIN(EOMONTH(C17,0),$B$5))</f>
        <v/>
      </c>
      <c r="E17" s="3" t="str">
        <f aca="false">IF(D16&gt;=$B$5,"",IF(7=1,D17-$B$4,D17-C17+1))</f>
        <v/>
      </c>
      <c r="F17" s="16" t="str">
        <f aca="false">IF(D16&gt;=$B$5,"",IF(D17&gt;=$B$5,G16,ROUND($B$7*E17,2)))</f>
        <v/>
      </c>
      <c r="G17" s="19" t="str">
        <f aca="false">IF(D16&gt;=$B$5,"",G16-F17)</f>
        <v/>
      </c>
    </row>
    <row r="18" customFormat="false" ht="15" hidden="false" customHeight="true" outlineLevel="0" collapsed="false">
      <c r="A18" s="3" t="str">
        <f aca="false">IF(D17&gt;=$B$5,"",8)</f>
        <v/>
      </c>
      <c r="B18" s="3" t="str">
        <f aca="false">IF(D17&gt;=$B$5,"","—")</f>
        <v/>
      </c>
      <c r="C18" s="12" t="str">
        <f aca="false">IF(D17&gt;=$B$5,"",D17+1)</f>
        <v/>
      </c>
      <c r="D18" s="12" t="str">
        <f aca="false">IF(D17&gt;=$B$5,"",MIN(EOMONTH(C18,0),$B$5))</f>
        <v/>
      </c>
      <c r="E18" s="3" t="str">
        <f aca="false">IF(D17&gt;=$B$5,"",IF(8=1,D18-$B$4,D18-C18+1))</f>
        <v/>
      </c>
      <c r="F18" s="16" t="str">
        <f aca="false">IF(D17&gt;=$B$5,"",IF(D18&gt;=$B$5,G17,ROUND($B$7*E18,2)))</f>
        <v/>
      </c>
      <c r="G18" s="19" t="str">
        <f aca="false">IF(D17&gt;=$B$5,"",G17-F18)</f>
        <v/>
      </c>
    </row>
    <row r="19" customFormat="false" ht="15" hidden="false" customHeight="true" outlineLevel="0" collapsed="false">
      <c r="E19" s="8" t="s">
        <v>82</v>
      </c>
      <c r="F19" s="9" t="n">
        <f aca="false">SUM(F11:F18)</f>
        <v>35000</v>
      </c>
    </row>
    <row r="21" customFormat="false" ht="11.25" hidden="false" customHeight="true" outlineLevel="0" collapsed="false">
      <c r="A21" s="28" t="s">
        <v>178</v>
      </c>
      <c r="B21" s="28"/>
      <c r="C21" s="28"/>
      <c r="D21" s="28"/>
      <c r="E21" s="28"/>
      <c r="F21" s="28"/>
      <c r="G21" s="28"/>
    </row>
  </sheetData>
  <mergeCells count="2">
    <mergeCell ref="A1:G1"/>
    <mergeCell ref="A21:G2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8"/>
    <col collapsed="false" customWidth="true" hidden="false" outlineLevel="0" max="3" min="2" style="0" width="12"/>
    <col collapsed="false" customWidth="true" hidden="false" outlineLevel="0" max="4" min="4" style="0" width="6"/>
    <col collapsed="false" customWidth="true" hidden="false" outlineLevel="0" max="5" min="5" style="0" width="9"/>
    <col collapsed="false" customWidth="true" hidden="false" outlineLevel="0" max="6" min="6" style="0" width="14"/>
    <col collapsed="false" customWidth="true" hidden="false" outlineLevel="0" max="7" min="7" style="0" width="15"/>
    <col collapsed="false" customWidth="true" hidden="false" outlineLevel="0" max="8" min="8" style="0" width="14"/>
    <col collapsed="false" customWidth="true" hidden="false" outlineLevel="0" max="9" min="9" style="0" width="12"/>
  </cols>
  <sheetData>
    <row r="1" customFormat="false" ht="15" hidden="false" customHeight="false" outlineLevel="0" collapsed="false">
      <c r="A1" s="50" t="s">
        <v>179</v>
      </c>
      <c r="B1" s="50"/>
      <c r="C1" s="50"/>
      <c r="D1" s="50"/>
      <c r="E1" s="50"/>
      <c r="F1" s="50"/>
      <c r="G1" s="50"/>
      <c r="H1" s="50"/>
      <c r="I1" s="50"/>
    </row>
    <row r="3" customFormat="false" ht="15" hidden="false" customHeight="false" outlineLevel="0" collapsed="false">
      <c r="A3" s="3" t="s">
        <v>1</v>
      </c>
      <c r="B3" s="4" t="n">
        <v>1000000</v>
      </c>
    </row>
    <row r="4" customFormat="false" ht="15" hidden="false" customHeight="false" outlineLevel="0" collapsed="false">
      <c r="A4" s="3" t="s">
        <v>4</v>
      </c>
      <c r="B4" s="6" t="n">
        <v>5</v>
      </c>
    </row>
    <row r="5" customFormat="false" ht="15" hidden="false" customHeight="false" outlineLevel="0" collapsed="false">
      <c r="A5" s="3" t="s">
        <v>70</v>
      </c>
      <c r="B5" s="10" t="n">
        <v>46174</v>
      </c>
    </row>
    <row r="6" customFormat="false" ht="15" hidden="false" customHeight="false" outlineLevel="0" collapsed="false">
      <c r="A6" s="3" t="s">
        <v>72</v>
      </c>
      <c r="B6" s="10" t="n">
        <v>46266</v>
      </c>
    </row>
    <row r="8" customFormat="false" ht="23.85" hidden="false" customHeight="false" outlineLevel="0" collapsed="false">
      <c r="A8" s="11" t="s">
        <v>113</v>
      </c>
      <c r="B8" s="11" t="s">
        <v>114</v>
      </c>
      <c r="C8" s="11" t="s">
        <v>115</v>
      </c>
      <c r="D8" s="11" t="s">
        <v>104</v>
      </c>
      <c r="E8" s="11" t="s">
        <v>180</v>
      </c>
      <c r="F8" s="11" t="s">
        <v>181</v>
      </c>
      <c r="G8" s="11" t="s">
        <v>182</v>
      </c>
      <c r="H8" s="11" t="s">
        <v>183</v>
      </c>
      <c r="I8" s="11" t="s">
        <v>184</v>
      </c>
    </row>
    <row r="9" customFormat="false" ht="15" hidden="false" customHeight="false" outlineLevel="0" collapsed="false">
      <c r="A9" s="3" t="n">
        <v>0</v>
      </c>
      <c r="B9" s="12" t="n">
        <f aca="false">$B$5</f>
        <v>46174</v>
      </c>
      <c r="C9" s="12" t="n">
        <f aca="false">$B$5</f>
        <v>46174</v>
      </c>
      <c r="D9" s="3" t="s">
        <v>94</v>
      </c>
      <c r="E9" s="3" t="s">
        <v>94</v>
      </c>
      <c r="F9" s="3" t="s">
        <v>94</v>
      </c>
      <c r="G9" s="13" t="n">
        <f aca="false">$B$3</f>
        <v>1000000</v>
      </c>
      <c r="H9" s="13" t="n">
        <f aca="false">ROUND($B$3*$B$4/100*($B$6-$B$5)/365,2)</f>
        <v>12602.74</v>
      </c>
      <c r="I9" s="3" t="s">
        <v>94</v>
      </c>
    </row>
    <row r="10" customFormat="false" ht="15" hidden="false" customHeight="false" outlineLevel="0" collapsed="false">
      <c r="A10" s="3" t="n">
        <f aca="false">IF(FALSE(),"",1)</f>
        <v>1</v>
      </c>
      <c r="B10" s="12" t="n">
        <f aca="false">IF(FALSE(),"",$B$5)</f>
        <v>46174</v>
      </c>
      <c r="C10" s="12" t="n">
        <f aca="false">IF(FALSE(),"",MIN(EOMONTH($B$5,0),$B$6))</f>
        <v>46203</v>
      </c>
      <c r="D10" s="3" t="n">
        <f aca="false">IF(FALSE(),"",C10-B10)</f>
        <v>29</v>
      </c>
      <c r="E10" s="51" t="n">
        <f aca="false">IF(FALSE(),"",$B$4)</f>
        <v>5</v>
      </c>
      <c r="F10" s="16" t="n">
        <f aca="false">IF(FALSE(),"",ROUND($B$3*$B$4/100*D10/365,2))</f>
        <v>3972.6</v>
      </c>
      <c r="G10" s="13" t="n">
        <f aca="false">IF(FALSE(),"",$B$3)</f>
        <v>1000000</v>
      </c>
      <c r="H10" s="20" t="n">
        <f aca="false">IF(FALSE(),"",MAX(0,H9-F10))</f>
        <v>8630.14</v>
      </c>
      <c r="I10" s="12" t="n">
        <f aca="false">IF(FALSE(),"",C10)</f>
        <v>46203</v>
      </c>
    </row>
    <row r="11" customFormat="false" ht="15" hidden="false" customHeight="false" outlineLevel="0" collapsed="false">
      <c r="A11" s="3" t="n">
        <f aca="false">IF(C10&gt;=$B$6,"",2)</f>
        <v>2</v>
      </c>
      <c r="B11" s="12" t="n">
        <f aca="false">IF(C10&gt;=$B$6,"",C10)</f>
        <v>46203</v>
      </c>
      <c r="C11" s="12" t="n">
        <f aca="false">IF(C10&gt;=$B$6,"",MIN(EOMONTH($B$5,1),$B$6))</f>
        <v>46234</v>
      </c>
      <c r="D11" s="3" t="n">
        <f aca="false">IF(C10&gt;=$B$6,"",C11-B11)</f>
        <v>31</v>
      </c>
      <c r="E11" s="51" t="n">
        <f aca="false">IF(C10&gt;=$B$6,"",$B$4)</f>
        <v>5</v>
      </c>
      <c r="F11" s="16" t="n">
        <f aca="false">IF(C10&gt;=$B$6,"",ROUND($B$3*$B$4/100*D11/365,2))</f>
        <v>4246.58</v>
      </c>
      <c r="G11" s="13" t="n">
        <f aca="false">IF(C10&gt;=$B$6,"",$B$3)</f>
        <v>1000000</v>
      </c>
      <c r="H11" s="20" t="n">
        <f aca="false">IF(C10&gt;=$B$6,"",MAX(0,H10-F11))</f>
        <v>4383.56</v>
      </c>
      <c r="I11" s="12" t="n">
        <f aca="false">IF(C10&gt;=$B$6,"",C11)</f>
        <v>46234</v>
      </c>
    </row>
    <row r="12" customFormat="false" ht="15" hidden="false" customHeight="false" outlineLevel="0" collapsed="false">
      <c r="A12" s="3" t="n">
        <f aca="false">IF(C11&gt;=$B$6,"",3)</f>
        <v>3</v>
      </c>
      <c r="B12" s="12" t="n">
        <f aca="false">IF(C11&gt;=$B$6,"",C11)</f>
        <v>46234</v>
      </c>
      <c r="C12" s="12" t="n">
        <f aca="false">IF(C11&gt;=$B$6,"",MIN(EOMONTH($B$5,2),$B$6))</f>
        <v>46265</v>
      </c>
      <c r="D12" s="3" t="n">
        <f aca="false">IF(C11&gt;=$B$6,"",C12-B12)</f>
        <v>31</v>
      </c>
      <c r="E12" s="51" t="n">
        <f aca="false">IF(C11&gt;=$B$6,"",$B$4)</f>
        <v>5</v>
      </c>
      <c r="F12" s="16" t="n">
        <f aca="false">IF(C11&gt;=$B$6,"",ROUND($B$3*$B$4/100*D12/365,2))</f>
        <v>4246.58</v>
      </c>
      <c r="G12" s="13" t="n">
        <f aca="false">IF(C11&gt;=$B$6,"",$B$3)</f>
        <v>1000000</v>
      </c>
      <c r="H12" s="20" t="n">
        <f aca="false">IF(C11&gt;=$B$6,"",MAX(0,H11-F12))</f>
        <v>136.98</v>
      </c>
      <c r="I12" s="12" t="n">
        <f aca="false">IF(C11&gt;=$B$6,"",C12)</f>
        <v>46265</v>
      </c>
    </row>
    <row r="13" customFormat="false" ht="15" hidden="false" customHeight="false" outlineLevel="0" collapsed="false">
      <c r="A13" s="3" t="n">
        <f aca="false">IF(C12&gt;=$B$6,"",4)</f>
        <v>4</v>
      </c>
      <c r="B13" s="12" t="n">
        <f aca="false">IF(C12&gt;=$B$6,"",C12)</f>
        <v>46265</v>
      </c>
      <c r="C13" s="12" t="n">
        <f aca="false">IF(C12&gt;=$B$6,"",MIN(EOMONTH($B$5,3),$B$6))</f>
        <v>46266</v>
      </c>
      <c r="D13" s="3" t="n">
        <f aca="false">IF(C12&gt;=$B$6,"",C13-B13)</f>
        <v>1</v>
      </c>
      <c r="E13" s="51" t="n">
        <f aca="false">IF(C12&gt;=$B$6,"",$B$4)</f>
        <v>5</v>
      </c>
      <c r="F13" s="16" t="n">
        <f aca="false">IF(C12&gt;=$B$6,"",ROUND($B$3*$B$4/100*D13/365,2))</f>
        <v>136.99</v>
      </c>
      <c r="G13" s="13" t="n">
        <f aca="false">IF(C12&gt;=$B$6,"",$B$3)</f>
        <v>1000000</v>
      </c>
      <c r="H13" s="20" t="n">
        <f aca="false">IF(C12&gt;=$B$6,"",MAX(0,H12-F13))</f>
        <v>0</v>
      </c>
      <c r="I13" s="12" t="n">
        <f aca="false">IF(C12&gt;=$B$6,"",C13)</f>
        <v>46266</v>
      </c>
    </row>
    <row r="14" customFormat="false" ht="15" hidden="false" customHeight="false" outlineLevel="0" collapsed="false">
      <c r="A14" s="3" t="str">
        <f aca="false">IF(C13&gt;=$B$6,"",5)</f>
        <v/>
      </c>
      <c r="B14" s="12" t="str">
        <f aca="false">IF(C13&gt;=$B$6,"",C13)</f>
        <v/>
      </c>
      <c r="C14" s="12" t="str">
        <f aca="false">IF(C13&gt;=$B$6,"",MIN(EOMONTH($B$5,4),$B$6))</f>
        <v/>
      </c>
      <c r="D14" s="3" t="str">
        <f aca="false">IF(C13&gt;=$B$6,"",C14-B14)</f>
        <v/>
      </c>
      <c r="E14" s="51" t="str">
        <f aca="false">IF(C13&gt;=$B$6,"",$B$4)</f>
        <v/>
      </c>
      <c r="F14" s="16" t="str">
        <f aca="false">IF(C13&gt;=$B$6,"",ROUND($B$3*$B$4/100*D14/365,2))</f>
        <v/>
      </c>
      <c r="G14" s="13" t="str">
        <f aca="false">IF(C13&gt;=$B$6,"",$B$3)</f>
        <v/>
      </c>
      <c r="H14" s="20" t="str">
        <f aca="false">IF(C13&gt;=$B$6,"",MAX(0,H13-F14))</f>
        <v/>
      </c>
      <c r="I14" s="12" t="str">
        <f aca="false">IF(C13&gt;=$B$6,"",C14)</f>
        <v/>
      </c>
    </row>
    <row r="15" customFormat="false" ht="15" hidden="false" customHeight="false" outlineLevel="0" collapsed="false">
      <c r="A15" s="3" t="str">
        <f aca="false">IF(C14&gt;=$B$6,"",6)</f>
        <v/>
      </c>
      <c r="B15" s="12" t="str">
        <f aca="false">IF(C14&gt;=$B$6,"",C14)</f>
        <v/>
      </c>
      <c r="C15" s="12" t="str">
        <f aca="false">IF(C14&gt;=$B$6,"",MIN(EOMONTH($B$5,5),$B$6))</f>
        <v/>
      </c>
      <c r="D15" s="3" t="str">
        <f aca="false">IF(C14&gt;=$B$6,"",C15-B15)</f>
        <v/>
      </c>
      <c r="E15" s="51" t="str">
        <f aca="false">IF(C14&gt;=$B$6,"",$B$4)</f>
        <v/>
      </c>
      <c r="F15" s="16" t="str">
        <f aca="false">IF(C14&gt;=$B$6,"",ROUND($B$3*$B$4/100*D15/365,2))</f>
        <v/>
      </c>
      <c r="G15" s="13" t="str">
        <f aca="false">IF(C14&gt;=$B$6,"",$B$3)</f>
        <v/>
      </c>
      <c r="H15" s="20" t="str">
        <f aca="false">IF(C14&gt;=$B$6,"",MAX(0,H14-F15))</f>
        <v/>
      </c>
      <c r="I15" s="12" t="str">
        <f aca="false">IF(C14&gt;=$B$6,"",C15)</f>
        <v/>
      </c>
    </row>
    <row r="16" customFormat="false" ht="15" hidden="false" customHeight="false" outlineLevel="0" collapsed="false">
      <c r="A16" s="3" t="str">
        <f aca="false">IF(C15&gt;=$B$6,"",7)</f>
        <v/>
      </c>
      <c r="B16" s="12" t="str">
        <f aca="false">IF(C15&gt;=$B$6,"",C15)</f>
        <v/>
      </c>
      <c r="C16" s="12" t="str">
        <f aca="false">IF(C15&gt;=$B$6,"",MIN(EOMONTH($B$5,6),$B$6))</f>
        <v/>
      </c>
      <c r="D16" s="3" t="str">
        <f aca="false">IF(C15&gt;=$B$6,"",C16-B16)</f>
        <v/>
      </c>
      <c r="E16" s="51" t="str">
        <f aca="false">IF(C15&gt;=$B$6,"",$B$4)</f>
        <v/>
      </c>
      <c r="F16" s="16" t="str">
        <f aca="false">IF(C15&gt;=$B$6,"",ROUND($B$3*$B$4/100*D16/365,2))</f>
        <v/>
      </c>
      <c r="G16" s="13" t="str">
        <f aca="false">IF(C15&gt;=$B$6,"",$B$3)</f>
        <v/>
      </c>
      <c r="H16" s="20" t="str">
        <f aca="false">IF(C15&gt;=$B$6,"",MAX(0,H15-F16))</f>
        <v/>
      </c>
      <c r="I16" s="12" t="str">
        <f aca="false">IF(C15&gt;=$B$6,"",C16)</f>
        <v/>
      </c>
    </row>
    <row r="17" customFormat="false" ht="15" hidden="false" customHeight="false" outlineLevel="0" collapsed="false">
      <c r="A17" s="3" t="str">
        <f aca="false">IF(C16&gt;=$B$6,"",8)</f>
        <v/>
      </c>
      <c r="B17" s="12" t="str">
        <f aca="false">IF(C16&gt;=$B$6,"",C16)</f>
        <v/>
      </c>
      <c r="C17" s="12" t="str">
        <f aca="false">IF(C16&gt;=$B$6,"",MIN(EOMONTH($B$5,7),$B$6))</f>
        <v/>
      </c>
      <c r="D17" s="3" t="str">
        <f aca="false">IF(C16&gt;=$B$6,"",C17-B17)</f>
        <v/>
      </c>
      <c r="E17" s="51" t="str">
        <f aca="false">IF(C16&gt;=$B$6,"",$B$4)</f>
        <v/>
      </c>
      <c r="F17" s="16" t="str">
        <f aca="false">IF(C16&gt;=$B$6,"",ROUND($B$3*$B$4/100*D17/365,2))</f>
        <v/>
      </c>
      <c r="G17" s="13" t="str">
        <f aca="false">IF(C16&gt;=$B$6,"",$B$3)</f>
        <v/>
      </c>
      <c r="H17" s="20" t="str">
        <f aca="false">IF(C16&gt;=$B$6,"",MAX(0,H16-F17))</f>
        <v/>
      </c>
      <c r="I17" s="12" t="str">
        <f aca="false">IF(C16&gt;=$B$6,"",C17)</f>
        <v/>
      </c>
    </row>
    <row r="18" customFormat="false" ht="15" hidden="false" customHeight="false" outlineLevel="0" collapsed="false">
      <c r="C18" s="37" t="s">
        <v>119</v>
      </c>
      <c r="D18" s="8" t="n">
        <f aca="false">SUM(D10:D17)</f>
        <v>92</v>
      </c>
      <c r="F18" s="9" t="n">
        <f aca="false">SUM(F10:F17)</f>
        <v>12602.75</v>
      </c>
    </row>
    <row r="20" customFormat="false" ht="11.9" hidden="false" customHeight="false" outlineLevel="0" collapsed="false">
      <c r="A20" s="52" t="s">
        <v>185</v>
      </c>
      <c r="B20" s="52"/>
      <c r="C20" s="52"/>
      <c r="D20" s="52"/>
      <c r="E20" s="52"/>
      <c r="F20" s="52"/>
      <c r="G20" s="52"/>
      <c r="H20" s="52"/>
      <c r="I20" s="52"/>
    </row>
  </sheetData>
  <mergeCells count="2">
    <mergeCell ref="A1:I1"/>
    <mergeCell ref="A20:I2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2026-09-29T10:11:06Z</dcterms:created>
  <dc:creator>openpyxl</dc:creator>
  <dc:description/>
  <dc:language>en-US</dc:language>
  <cp:lastModifiedBy/>
  <dcterms:modified xsi:type="dcterms:W3CDTF">2026-09-29T13:49:38Z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