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HP Amortization" sheetId="1" state="visible" r:id="rId1"/>
    <sheet xmlns:r="http://schemas.openxmlformats.org/officeDocument/2006/relationships" name="HP Maturity" sheetId="2" state="visible" r:id="rId2"/>
    <sheet xmlns:r="http://schemas.openxmlformats.org/officeDocument/2006/relationships" name="Leasing" sheetId="3" state="visible" r:id="rId3"/>
    <sheet xmlns:r="http://schemas.openxmlformats.org/officeDocument/2006/relationships" name="Leasing Maturity" sheetId="4" state="visible" r:id="rId4"/>
    <sheet xmlns:r="http://schemas.openxmlformats.org/officeDocument/2006/relationships" name="Lease Other" sheetId="5" state="visible" r:id="rId5"/>
    <sheet xmlns:r="http://schemas.openxmlformats.org/officeDocument/2006/relationships" name="Lease Other Maturity" sheetId="6" state="visible" r:id="rId6"/>
    <sheet xmlns:r="http://schemas.openxmlformats.org/officeDocument/2006/relationships" name="FP Schedule" sheetId="7" state="visible" r:id="rId7"/>
    <sheet xmlns:r="http://schemas.openxmlformats.org/officeDocument/2006/relationships" name="OD Bank Transaction" sheetId="8" state="visible" r:id="rId8"/>
    <sheet xmlns:r="http://schemas.openxmlformats.org/officeDocument/2006/relationships" name="OD Schedule" sheetId="9" state="visible" r:id="rId9"/>
    <sheet xmlns:r="http://schemas.openxmlformats.org/officeDocument/2006/relationships" name="TR Schedule" sheetId="10" state="visible" r:id="rId10"/>
    <sheet xmlns:r="http://schemas.openxmlformats.org/officeDocument/2006/relationships" name="FXF Fair Value" sheetId="11" state="visible" r:id="rId11"/>
    <sheet xmlns:r="http://schemas.openxmlformats.org/officeDocument/2006/relationships" name="FXF Portfolio MTM" sheetId="12" state="visible" r:id="rId12"/>
    <sheet xmlns:r="http://schemas.openxmlformats.org/officeDocument/2006/relationships" name="LC Fee" sheetId="13" state="visible" r:id="rId13"/>
    <sheet xmlns:r="http://schemas.openxmlformats.org/officeDocument/2006/relationships" name="LC Schedule" sheetId="14" state="visible" r:id="rId14"/>
    <sheet xmlns:r="http://schemas.openxmlformats.org/officeDocument/2006/relationships" name="PN Schedule" sheetId="15" state="visible" r:id="rId15"/>
    <sheet xmlns:r="http://schemas.openxmlformats.org/officeDocument/2006/relationships" name="LG Prepaid Fee" sheetId="16" state="visible" r:id="rId16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6">
    <numFmt numFmtId="164" formatCode="dd/mm/yyyy"/>
    <numFmt numFmtId="165" formatCode="0.0000\%"/>
    <numFmt numFmtId="166" formatCode="0.0000"/>
    <numFmt numFmtId="167" formatCode="yyyy-mm-dd"/>
    <numFmt numFmtId="168" formatCode="DD/MM/YYYY"/>
    <numFmt numFmtId="169" formatCode="0.000000"/>
  </numFmts>
  <fonts count="3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3"/>
    </font>
    <font>
      <name val="Arial"/>
      <charset val="1"/>
      <family val="0"/>
      <sz val="10"/>
    </font>
    <font>
      <name val="Arial"/>
      <charset val="1"/>
      <family val="0"/>
      <b val="1"/>
      <color rgb="FF0000FF"/>
      <sz val="11"/>
    </font>
    <font>
      <name val="Arial"/>
      <charset val="1"/>
      <family val="0"/>
      <b val="1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7030A0"/>
      <sz val="10"/>
    </font>
    <font>
      <name val="Arial"/>
      <charset val="1"/>
      <family val="0"/>
      <color rgb="FFC55A11"/>
      <sz val="10"/>
    </font>
    <font>
      <name val="Arial"/>
      <charset val="1"/>
      <family val="0"/>
      <color rgb="FF843C0C"/>
      <sz val="10"/>
    </font>
    <font>
      <name val="Arial"/>
      <charset val="1"/>
      <family val="0"/>
      <color rgb="FF548235"/>
      <sz val="10"/>
    </font>
    <font>
      <name val="Arial"/>
      <charset val="1"/>
      <family val="0"/>
      <color rgb="FF2E75B6"/>
      <sz val="10"/>
    </font>
    <font>
      <name val="Arial"/>
      <charset val="1"/>
      <family val="0"/>
      <color rgb="FF808080"/>
      <sz val="10"/>
    </font>
    <font>
      <name val="Arial"/>
      <charset val="1"/>
      <family val="0"/>
      <color rgb="FF999999"/>
      <sz val="8"/>
    </font>
    <font>
      <name val="Arial"/>
      <charset val="1"/>
      <family val="0"/>
      <b val="1"/>
      <sz val="11"/>
    </font>
    <font>
      <name val="Arial"/>
      <charset val="1"/>
      <family val="0"/>
      <b val="1"/>
      <color rgb="FF1F4E78"/>
      <sz val="10"/>
    </font>
    <font>
      <name val="Arial"/>
      <charset val="1"/>
      <family val="0"/>
      <i val="1"/>
      <color rgb="FF555555"/>
      <sz val="9"/>
    </font>
    <font>
      <name val="Arial"/>
      <charset val="1"/>
      <family val="0"/>
      <color rgb="FF0000FF"/>
      <sz val="11"/>
    </font>
    <font>
      <name val="Arial"/>
      <charset val="1"/>
      <family val="0"/>
      <i val="1"/>
      <color rgb="FF666666"/>
      <sz val="9"/>
    </font>
    <font>
      <name val="Arial"/>
      <charset val="1"/>
      <family val="0"/>
      <color rgb="FFC00000"/>
      <sz val="10"/>
    </font>
    <font>
      <name val="Arial"/>
      <charset val="1"/>
      <family val="0"/>
      <color rgb="FF2E75B6"/>
      <sz val="11"/>
    </font>
    <font>
      <name val="Arial"/>
      <charset val="1"/>
      <family val="0"/>
      <color rgb="FF000000"/>
      <sz val="10"/>
    </font>
    <font>
      <name val="Arial"/>
      <charset val="1"/>
      <family val="0"/>
      <color rgb="FFC00000"/>
      <sz val="11"/>
    </font>
    <font>
      <name val="Arial"/>
      <charset val="1"/>
      <family val="0"/>
      <b val="1"/>
      <color rgb="FFC00000"/>
      <sz val="11"/>
    </font>
    <font>
      <name val="Arial"/>
      <charset val="1"/>
      <family val="0"/>
      <b val="1"/>
      <color rgb="FF548235"/>
      <sz val="11"/>
    </font>
    <font>
      <name val="Arial"/>
      <charset val="1"/>
      <family val="0"/>
      <i val="1"/>
      <color rgb="FFC00000"/>
      <sz val="9"/>
    </font>
    <font>
      <name val="Arial"/>
      <charset val="1"/>
      <family val="0"/>
      <i val="1"/>
      <color rgb="FF2E75B6"/>
      <sz val="9"/>
    </font>
    <font>
      <name val="Arial"/>
      <charset val="1"/>
      <family val="0"/>
      <b val="1"/>
      <color rgb="FF2E7D32"/>
      <sz val="11"/>
    </font>
    <font>
      <b val="1"/>
      <sz val="12"/>
    </font>
    <font>
      <b val="1"/>
    </font>
    <font>
      <sz val="9"/>
    </font>
    <font>
      <b val="1"/>
      <color rgb="00FFFFFF"/>
      <sz val="10"/>
    </font>
    <font>
      <color rgb="001565C0"/>
    </font>
  </fonts>
  <fills count="7">
    <fill>
      <patternFill/>
    </fill>
    <fill>
      <patternFill patternType="gray125"/>
    </fill>
    <fill>
      <patternFill patternType="solid">
        <fgColor rgb="FFFFF2CC"/>
        <bgColor rgb="FFE2EFDA"/>
      </patternFill>
    </fill>
    <fill>
      <patternFill patternType="solid">
        <fgColor rgb="FFE2EFDA"/>
        <bgColor rgb="FFFFF2CC"/>
      </patternFill>
    </fill>
    <fill>
      <patternFill patternType="solid">
        <fgColor rgb="FF1F4E78"/>
        <bgColor rgb="FF003366"/>
      </patternFill>
    </fill>
    <fill>
      <patternFill patternType="solid">
        <fgColor rgb="00FFF3CD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2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center"/>
    </xf>
    <xf numFmtId="3" fontId="6" fillId="2" borderId="0" applyAlignment="1" pivotButton="0" quotePrefix="0" xfId="0">
      <alignment horizontal="general" vertical="center"/>
    </xf>
    <xf numFmtId="1" fontId="6" fillId="2" borderId="0" applyAlignment="1" pivotButton="0" quotePrefix="0" xfId="0">
      <alignment horizontal="general" vertical="center"/>
    </xf>
    <xf numFmtId="2" fontId="6" fillId="2" borderId="0" applyAlignment="1" pivotButton="0" quotePrefix="0" xfId="0">
      <alignment horizontal="general" vertical="center"/>
    </xf>
    <xf numFmtId="4" fontId="6" fillId="2" borderId="0" applyAlignment="1" pivotButton="0" quotePrefix="0" xfId="0">
      <alignment horizontal="general" vertical="center"/>
    </xf>
    <xf numFmtId="0" fontId="7" fillId="0" borderId="0" applyAlignment="1" pivotButton="0" quotePrefix="0" xfId="0">
      <alignment horizontal="general" vertical="center"/>
    </xf>
    <xf numFmtId="4" fontId="7" fillId="3" borderId="0" applyAlignment="1" pivotButton="0" quotePrefix="0" xfId="0">
      <alignment horizontal="general" vertical="center"/>
    </xf>
    <xf numFmtId="164" fontId="6" fillId="2" borderId="0" applyAlignment="1" pivotButton="0" quotePrefix="0" xfId="0">
      <alignment horizontal="general" vertical="center"/>
    </xf>
    <xf numFmtId="0" fontId="8" fillId="4" borderId="0" applyAlignment="1" pivotButton="0" quotePrefix="0" xfId="0">
      <alignment horizontal="center" vertical="center" wrapText="1"/>
    </xf>
    <xf numFmtId="164" fontId="5" fillId="0" borderId="0" applyAlignment="1" pivotButton="0" quotePrefix="0" xfId="0">
      <alignment horizontal="general" vertical="center"/>
    </xf>
    <xf numFmtId="4" fontId="5" fillId="0" borderId="0" applyAlignment="1" pivotButton="0" quotePrefix="0" xfId="0">
      <alignment horizontal="general" vertical="center"/>
    </xf>
    <xf numFmtId="4" fontId="9" fillId="0" borderId="0" applyAlignment="1" pivotButton="0" quotePrefix="0" xfId="0">
      <alignment horizontal="general" vertical="center"/>
    </xf>
    <xf numFmtId="4" fontId="7" fillId="0" borderId="0" applyAlignment="1" pivotButton="0" quotePrefix="0" xfId="0">
      <alignment horizontal="general" vertical="center"/>
    </xf>
    <xf numFmtId="4" fontId="10" fillId="0" borderId="0" applyAlignment="1" pivotButton="0" quotePrefix="0" xfId="0">
      <alignment horizontal="general" vertical="center"/>
    </xf>
    <xf numFmtId="4" fontId="11" fillId="0" borderId="0" applyAlignment="1" pivotButton="0" quotePrefix="0" xfId="0">
      <alignment horizontal="general" vertical="center"/>
    </xf>
    <xf numFmtId="4" fontId="12" fillId="0" borderId="0" applyAlignment="1" pivotButton="0" quotePrefix="0" xfId="0">
      <alignment horizontal="general" vertical="center"/>
    </xf>
    <xf numFmtId="4" fontId="13" fillId="0" borderId="0" applyAlignment="1" pivotButton="0" quotePrefix="0" xfId="0">
      <alignment horizontal="general" vertical="center"/>
    </xf>
    <xf numFmtId="4" fontId="14" fillId="0" borderId="0" applyAlignment="1" pivotButton="0" quotePrefix="0" xfId="0">
      <alignment horizontal="general" vertical="center"/>
    </xf>
    <xf numFmtId="0" fontId="15" fillId="0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center" wrapText="1"/>
    </xf>
    <xf numFmtId="0" fontId="18" fillId="0" borderId="0" applyAlignment="1" pivotButton="0" quotePrefix="0" xfId="0">
      <alignment horizontal="general" vertical="center" wrapText="1"/>
    </xf>
    <xf numFmtId="4" fontId="15" fillId="0" borderId="0" applyAlignment="1" pivotButton="0" quotePrefix="0" xfId="0">
      <alignment horizontal="general" vertical="bottom"/>
    </xf>
    <xf numFmtId="0" fontId="19" fillId="2" borderId="0" applyAlignment="1" pivotButton="0" quotePrefix="0" xfId="0">
      <alignment horizontal="general" vertical="center"/>
    </xf>
    <xf numFmtId="165" fontId="5" fillId="0" borderId="0" applyAlignment="1" pivotButton="0" quotePrefix="0" xfId="0">
      <alignment horizontal="general" vertical="center"/>
    </xf>
    <xf numFmtId="0" fontId="20" fillId="0" borderId="0" applyAlignment="1" pivotButton="0" quotePrefix="0" xfId="0">
      <alignment horizontal="general" vertical="bottom"/>
    </xf>
    <xf numFmtId="164" fontId="19" fillId="2" borderId="0" applyAlignment="1" pivotButton="0" quotePrefix="0" xfId="0">
      <alignment horizontal="general" vertical="center"/>
    </xf>
    <xf numFmtId="4" fontId="19" fillId="2" borderId="0" applyAlignment="1" pivotButton="0" quotePrefix="0" xfId="0">
      <alignment horizontal="general" vertical="center"/>
    </xf>
    <xf numFmtId="0" fontId="5" fillId="2" borderId="0" applyAlignment="1" pivotButton="0" quotePrefix="0" xfId="0">
      <alignment horizontal="general" vertical="center"/>
    </xf>
    <xf numFmtId="4" fontId="21" fillId="0" borderId="0" applyAlignment="1" pivotButton="0" quotePrefix="0" xfId="0">
      <alignment horizontal="general" vertical="center"/>
    </xf>
    <xf numFmtId="0" fontId="22" fillId="0" borderId="0" applyAlignment="1" pivotButton="0" quotePrefix="0" xfId="0">
      <alignment horizontal="general" vertical="center"/>
    </xf>
    <xf numFmtId="4" fontId="23" fillId="0" borderId="0" applyAlignment="1" pivotButton="0" quotePrefix="0" xfId="0">
      <alignment horizontal="general" vertical="center"/>
    </xf>
    <xf numFmtId="166" fontId="6" fillId="2" borderId="0" applyAlignment="1" pivotButton="0" quotePrefix="0" xfId="0">
      <alignment horizontal="general" vertical="center"/>
    </xf>
    <xf numFmtId="4" fontId="24" fillId="2" borderId="0" applyAlignment="1" pivotButton="0" quotePrefix="0" xfId="0">
      <alignment horizontal="general" vertical="center"/>
    </xf>
    <xf numFmtId="0" fontId="7" fillId="0" borderId="0" applyAlignment="1" pivotButton="0" quotePrefix="0" xfId="0">
      <alignment horizontal="right" vertical="bottom"/>
    </xf>
    <xf numFmtId="4" fontId="25" fillId="3" borderId="0" applyAlignment="1" pivotButton="0" quotePrefix="0" xfId="0">
      <alignment horizontal="general" vertical="center"/>
    </xf>
    <xf numFmtId="0" fontId="6" fillId="2" borderId="0" applyAlignment="1" pivotButton="0" quotePrefix="0" xfId="0">
      <alignment horizontal="general" vertical="center"/>
    </xf>
    <xf numFmtId="166" fontId="19" fillId="2" borderId="0" applyAlignment="1" pivotButton="0" quotePrefix="0" xfId="0">
      <alignment horizontal="general" vertical="center"/>
    </xf>
    <xf numFmtId="4" fontId="26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166" fontId="5" fillId="0" borderId="0" applyAlignment="1" pivotButton="0" quotePrefix="0" xfId="0">
      <alignment horizontal="general" vertical="center"/>
    </xf>
    <xf numFmtId="49" fontId="6" fillId="2" borderId="0" applyAlignment="1" pivotButton="0" quotePrefix="0" xfId="0">
      <alignment horizontal="general" vertical="center"/>
    </xf>
    <xf numFmtId="4" fontId="16" fillId="3" borderId="0" applyAlignment="1" pivotButton="0" quotePrefix="0" xfId="0">
      <alignment horizontal="general" vertical="center"/>
    </xf>
    <xf numFmtId="0" fontId="28" fillId="0" borderId="0" applyAlignment="1" pivotButton="0" quotePrefix="0" xfId="0">
      <alignment horizontal="general" vertical="bottom"/>
    </xf>
    <xf numFmtId="4" fontId="29" fillId="3" borderId="0" applyAlignment="1" pivotButton="0" quotePrefix="0" xfId="0">
      <alignment horizontal="general" vertical="center"/>
    </xf>
    <xf numFmtId="0" fontId="7" fillId="3" borderId="0" applyAlignment="1" pivotButton="0" quotePrefix="0" xfId="0">
      <alignment horizontal="general" vertical="center"/>
    </xf>
    <xf numFmtId="166" fontId="7" fillId="3" borderId="0" applyAlignment="1" pivotButton="0" quotePrefix="0" xfId="0">
      <alignment horizontal="general" vertical="center"/>
    </xf>
    <xf numFmtId="0" fontId="4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center"/>
    </xf>
    <xf numFmtId="0" fontId="2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center"/>
    </xf>
    <xf numFmtId="3" fontId="6" fillId="2" borderId="0" applyAlignment="1" pivotButton="0" quotePrefix="0" xfId="0">
      <alignment horizontal="general" vertical="center"/>
    </xf>
    <xf numFmtId="1" fontId="6" fillId="2" borderId="0" applyAlignment="1" pivotButton="0" quotePrefix="0" xfId="0">
      <alignment horizontal="general" vertical="center"/>
    </xf>
    <xf numFmtId="2" fontId="6" fillId="2" borderId="0" applyAlignment="1" pivotButton="0" quotePrefix="0" xfId="0">
      <alignment horizontal="general" vertical="center"/>
    </xf>
    <xf numFmtId="4" fontId="6" fillId="2" borderId="0" applyAlignment="1" pivotButton="0" quotePrefix="0" xfId="0">
      <alignment horizontal="general" vertical="center"/>
    </xf>
    <xf numFmtId="0" fontId="7" fillId="0" borderId="0" applyAlignment="1" pivotButton="0" quotePrefix="0" xfId="0">
      <alignment horizontal="general" vertical="center"/>
    </xf>
    <xf numFmtId="4" fontId="7" fillId="3" borderId="0" applyAlignment="1" pivotButton="0" quotePrefix="0" xfId="0">
      <alignment horizontal="general" vertical="center"/>
    </xf>
    <xf numFmtId="164" fontId="6" fillId="2" borderId="0" applyAlignment="1" pivotButton="0" quotePrefix="0" xfId="0">
      <alignment horizontal="general" vertical="center"/>
    </xf>
    <xf numFmtId="0" fontId="8" fillId="4" borderId="0" applyAlignment="1" pivotButton="0" quotePrefix="0" xfId="0">
      <alignment horizontal="center" vertical="center" wrapText="1"/>
    </xf>
    <xf numFmtId="164" fontId="5" fillId="0" borderId="0" applyAlignment="1" pivotButton="0" quotePrefix="0" xfId="0">
      <alignment horizontal="general" vertical="center"/>
    </xf>
    <xf numFmtId="4" fontId="5" fillId="0" borderId="0" applyAlignment="1" pivotButton="0" quotePrefix="0" xfId="0">
      <alignment horizontal="general" vertical="center"/>
    </xf>
    <xf numFmtId="4" fontId="9" fillId="0" borderId="0" applyAlignment="1" pivotButton="0" quotePrefix="0" xfId="0">
      <alignment horizontal="general" vertical="center"/>
    </xf>
    <xf numFmtId="4" fontId="7" fillId="0" borderId="0" applyAlignment="1" pivotButton="0" quotePrefix="0" xfId="0">
      <alignment horizontal="general" vertical="center"/>
    </xf>
    <xf numFmtId="4" fontId="10" fillId="0" borderId="0" applyAlignment="1" pivotButton="0" quotePrefix="0" xfId="0">
      <alignment horizontal="general" vertical="center"/>
    </xf>
    <xf numFmtId="4" fontId="11" fillId="0" borderId="0" applyAlignment="1" pivotButton="0" quotePrefix="0" xfId="0">
      <alignment horizontal="general" vertical="center"/>
    </xf>
    <xf numFmtId="4" fontId="12" fillId="0" borderId="0" applyAlignment="1" pivotButton="0" quotePrefix="0" xfId="0">
      <alignment horizontal="general" vertical="center"/>
    </xf>
    <xf numFmtId="4" fontId="13" fillId="0" borderId="0" applyAlignment="1" pivotButton="0" quotePrefix="0" xfId="0">
      <alignment horizontal="general" vertical="center"/>
    </xf>
    <xf numFmtId="4" fontId="14" fillId="0" borderId="0" applyAlignment="1" pivotButton="0" quotePrefix="0" xfId="0">
      <alignment horizontal="general" vertical="center"/>
    </xf>
    <xf numFmtId="0" fontId="15" fillId="0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center" wrapText="1"/>
    </xf>
    <xf numFmtId="0" fontId="18" fillId="0" borderId="0" applyAlignment="1" pivotButton="0" quotePrefix="0" xfId="0">
      <alignment horizontal="general" vertical="center" wrapText="1"/>
    </xf>
    <xf numFmtId="4" fontId="15" fillId="0" borderId="0" applyAlignment="1" pivotButton="0" quotePrefix="0" xfId="0">
      <alignment horizontal="general" vertical="bottom"/>
    </xf>
    <xf numFmtId="0" fontId="19" fillId="2" borderId="0" applyAlignment="1" pivotButton="0" quotePrefix="0" xfId="0">
      <alignment horizontal="general" vertical="center"/>
    </xf>
    <xf numFmtId="165" fontId="5" fillId="0" borderId="0" applyAlignment="1" pivotButton="0" quotePrefix="0" xfId="0">
      <alignment horizontal="general" vertical="center"/>
    </xf>
    <xf numFmtId="0" fontId="20" fillId="0" borderId="0" applyAlignment="1" pivotButton="0" quotePrefix="0" xfId="0">
      <alignment horizontal="general" vertical="bottom"/>
    </xf>
    <xf numFmtId="164" fontId="19" fillId="2" borderId="0" applyAlignment="1" pivotButton="0" quotePrefix="0" xfId="0">
      <alignment horizontal="general" vertical="center"/>
    </xf>
    <xf numFmtId="4" fontId="19" fillId="2" borderId="0" applyAlignment="1" pivotButton="0" quotePrefix="0" xfId="0">
      <alignment horizontal="general" vertical="center"/>
    </xf>
    <xf numFmtId="0" fontId="5" fillId="2" borderId="0" applyAlignment="1" pivotButton="0" quotePrefix="0" xfId="0">
      <alignment horizontal="general" vertical="center"/>
    </xf>
    <xf numFmtId="4" fontId="21" fillId="0" borderId="0" applyAlignment="1" pivotButton="0" quotePrefix="0" xfId="0">
      <alignment horizontal="general" vertical="center"/>
    </xf>
    <xf numFmtId="0" fontId="22" fillId="0" borderId="0" applyAlignment="1" pivotButton="0" quotePrefix="0" xfId="0">
      <alignment horizontal="general" vertical="center"/>
    </xf>
    <xf numFmtId="4" fontId="23" fillId="0" borderId="0" applyAlignment="1" pivotButton="0" quotePrefix="0" xfId="0">
      <alignment horizontal="general" vertical="center"/>
    </xf>
    <xf numFmtId="166" fontId="6" fillId="2" borderId="0" applyAlignment="1" pivotButton="0" quotePrefix="0" xfId="0">
      <alignment horizontal="general" vertical="center"/>
    </xf>
    <xf numFmtId="4" fontId="24" fillId="2" borderId="0" applyAlignment="1" pivotButton="0" quotePrefix="0" xfId="0">
      <alignment horizontal="general" vertical="center"/>
    </xf>
    <xf numFmtId="0" fontId="7" fillId="0" borderId="0" applyAlignment="1" pivotButton="0" quotePrefix="0" xfId="0">
      <alignment horizontal="right" vertical="bottom"/>
    </xf>
    <xf numFmtId="4" fontId="25" fillId="3" borderId="0" applyAlignment="1" pivotButton="0" quotePrefix="0" xfId="0">
      <alignment horizontal="general" vertical="center"/>
    </xf>
    <xf numFmtId="0" fontId="6" fillId="2" borderId="0" applyAlignment="1" pivotButton="0" quotePrefix="0" xfId="0">
      <alignment horizontal="general" vertical="center"/>
    </xf>
    <xf numFmtId="166" fontId="19" fillId="2" borderId="0" applyAlignment="1" pivotButton="0" quotePrefix="0" xfId="0">
      <alignment horizontal="general" vertical="center"/>
    </xf>
    <xf numFmtId="4" fontId="26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166" fontId="5" fillId="0" borderId="0" applyAlignment="1" pivotButton="0" quotePrefix="0" xfId="0">
      <alignment horizontal="general" vertical="center"/>
    </xf>
    <xf numFmtId="49" fontId="6" fillId="2" borderId="0" applyAlignment="1" pivotButton="0" quotePrefix="0" xfId="0">
      <alignment horizontal="general" vertical="center"/>
    </xf>
    <xf numFmtId="4" fontId="16" fillId="3" borderId="0" applyAlignment="1" pivotButton="0" quotePrefix="0" xfId="0">
      <alignment horizontal="general" vertical="center"/>
    </xf>
    <xf numFmtId="0" fontId="28" fillId="0" borderId="0" applyAlignment="1" pivotButton="0" quotePrefix="0" xfId="0">
      <alignment horizontal="general" vertical="bottom"/>
    </xf>
    <xf numFmtId="4" fontId="29" fillId="3" borderId="0" applyAlignment="1" pivotButton="0" quotePrefix="0" xfId="0">
      <alignment horizontal="general" vertical="center"/>
    </xf>
    <xf numFmtId="0" fontId="7" fillId="3" borderId="0" applyAlignment="1" pivotButton="0" quotePrefix="0" xfId="0">
      <alignment horizontal="general" vertical="center"/>
    </xf>
    <xf numFmtId="166" fontId="7" fillId="3" borderId="0" applyAlignment="1" pivotButton="0" quotePrefix="0" xfId="0">
      <alignment horizontal="general" vertical="center"/>
    </xf>
    <xf numFmtId="2" fontId="5" fillId="0" borderId="0" applyAlignment="1" pivotButton="0" quotePrefix="0" xfId="0">
      <alignment horizontal="general" vertical="center"/>
    </xf>
    <xf numFmtId="0" fontId="30" fillId="0" borderId="0" pivotButton="0" quotePrefix="0" xfId="0"/>
    <xf numFmtId="0" fontId="32" fillId="0" borderId="0" pivotButton="0" quotePrefix="0" xfId="0"/>
    <xf numFmtId="4" fontId="0" fillId="5" borderId="1" pivotButton="0" quotePrefix="0" xfId="0"/>
    <xf numFmtId="0" fontId="33" fillId="6" borderId="1" applyAlignment="1" pivotButton="0" quotePrefix="0" xfId="0">
      <alignment horizontal="center"/>
    </xf>
    <xf numFmtId="0" fontId="33" fillId="6" borderId="1" applyAlignment="1" pivotButton="0" quotePrefix="0" xfId="0">
      <alignment horizontal="center" vertical="center" wrapText="1"/>
    </xf>
    <xf numFmtId="0" fontId="33" fillId="6" borderId="1" applyAlignment="1" pivotButton="0" quotePrefix="0" xfId="0">
      <alignment horizontal="right"/>
    </xf>
    <xf numFmtId="168" fontId="0" fillId="5" borderId="1" pivotButton="0" quotePrefix="0" xfId="0"/>
    <xf numFmtId="0" fontId="0" fillId="0" borderId="1" applyAlignment="1" pivotButton="0" quotePrefix="0" xfId="0">
      <alignment horizontal="center"/>
    </xf>
    <xf numFmtId="168" fontId="0" fillId="0" borderId="1" pivotButton="0" quotePrefix="0" xfId="0"/>
    <xf numFmtId="0" fontId="0" fillId="0" borderId="1" pivotButton="0" quotePrefix="0" xfId="0"/>
    <xf numFmtId="4" fontId="0" fillId="0" borderId="1" applyAlignment="1" pivotButton="0" quotePrefix="0" xfId="0">
      <alignment horizontal="center"/>
    </xf>
    <xf numFmtId="4" fontId="0" fillId="0" borderId="1" applyAlignment="1" pivotButton="0" quotePrefix="0" xfId="0">
      <alignment horizontal="right"/>
    </xf>
    <xf numFmtId="0" fontId="34" fillId="0" borderId="1" pivotButton="0" quotePrefix="0" xfId="0"/>
    <xf numFmtId="1" fontId="0" fillId="0" borderId="0" pivotButton="0" quotePrefix="0" xfId="0"/>
    <xf numFmtId="169" fontId="0" fillId="0" borderId="0" pivotButton="0" quotePrefix="0" xfId="0"/>
    <xf numFmtId="0" fontId="31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C0C0C0"/>
      <rgbColor rgb="FF808080"/>
      <rgbColor rgb="FF9999FF"/>
      <rgbColor rgb="FF7030A0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C55A11"/>
      <rgbColor rgb="FF666666"/>
      <rgbColor rgb="FF999999"/>
      <rgbColor rgb="FF003366"/>
      <rgbColor rgb="FF2E7D32"/>
      <rgbColor rgb="FF003300"/>
      <rgbColor rgb="FF333300"/>
      <rgbColor rgb="FF843C0C"/>
      <rgbColor rgb="FF993366"/>
      <rgbColor rgb="FF1F4E78"/>
      <rgbColor rgb="FF555555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5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" customWidth="1" style="53" min="1" max="1"/>
    <col width="12" customWidth="1" style="53" min="2" max="3"/>
    <col width="10" customWidth="1" style="53" min="4" max="4"/>
    <col width="13" customWidth="1" style="53" min="5" max="5"/>
    <col width="11" customWidth="1" style="53" min="6" max="6"/>
    <col width="13" customWidth="1" style="53" min="7" max="9"/>
    <col width="12" customWidth="1" style="53" min="10" max="10"/>
    <col width="13" customWidth="1" style="53" min="11" max="12"/>
    <col width="12" customWidth="1" style="53" min="13" max="13"/>
    <col width="5" customWidth="1" style="53" min="15" max="15"/>
  </cols>
  <sheetData>
    <row r="1" ht="15" customHeight="1" s="54">
      <c r="A1" s="55" t="inlineStr">
        <is>
          <t>HP-DEMO-001 — Amortization Schedule (เช่าซื้อรถ วิธี gross)</t>
        </is>
      </c>
    </row>
    <row r="3" ht="15" customHeight="1" s="54">
      <c r="A3" s="56" t="inlineStr">
        <is>
          <t>PRINCIPAL</t>
        </is>
      </c>
      <c r="B3" s="57" t="n">
        <v>1000000</v>
      </c>
      <c r="D3" s="56" t="inlineStr">
        <is>
          <t>VAT (%)</t>
        </is>
      </c>
      <c r="E3" s="58" t="n">
        <v>7</v>
      </c>
      <c r="G3" s="56" t="inlineStr">
        <is>
          <t>ROU LIFE (เดือน)</t>
        </is>
      </c>
      <c r="H3" s="58" t="n">
        <v>48</v>
      </c>
    </row>
    <row r="4" ht="15" customHeight="1" s="54">
      <c r="A4" s="56" t="inlineStr">
        <is>
          <t>RATE / YEAR (%)</t>
        </is>
      </c>
      <c r="B4" s="59" t="n">
        <v>5</v>
      </c>
      <c r="D4" s="56" t="inlineStr">
        <is>
          <t>INSTALLMENT (จากระบบ)</t>
        </is>
      </c>
      <c r="E4" s="60" t="n">
        <v>23029.29</v>
      </c>
      <c r="G4" s="61" t="inlineStr">
        <is>
          <t>ดอกเบี้ยรวมทั้งสัญญา</t>
        </is>
      </c>
      <c r="H4" s="62">
        <f>SUM(F10:F57)</f>
        <v/>
      </c>
    </row>
    <row r="5" ht="15" customHeight="1" s="54">
      <c r="A5" s="56" t="inlineStr">
        <is>
          <t>TERM (MONTHS)</t>
        </is>
      </c>
      <c r="B5" s="58" t="n">
        <v>48</v>
      </c>
      <c r="D5" s="56" t="inlineStr">
        <is>
          <t>PAYMENT START DATE</t>
        </is>
      </c>
      <c r="E5" s="63" t="n">
        <v>46295</v>
      </c>
      <c r="G5" s="61" t="inlineStr">
        <is>
          <t>VAT รวมทั้งสัญญา</t>
        </is>
      </c>
      <c r="H5" s="62">
        <f>SUM(D10:D57)</f>
        <v/>
      </c>
    </row>
    <row r="9" ht="23.25" customHeight="1" s="54">
      <c r="A9" s="64" t="inlineStr">
        <is>
          <t>#</t>
        </is>
      </c>
      <c r="B9" s="64" t="inlineStr">
        <is>
          <t>PAYMENT DATE</t>
        </is>
      </c>
      <c r="C9" s="64" t="inlineStr">
        <is>
          <t>INSTALLMENT</t>
        </is>
      </c>
      <c r="D9" s="64" t="inlineStr">
        <is>
          <t>VAT</t>
        </is>
      </c>
      <c r="E9" s="64" t="inlineStr">
        <is>
          <t>TOTAL INC. VAT</t>
        </is>
      </c>
      <c r="F9" s="64" t="inlineStr">
        <is>
          <t>INTEREST</t>
        </is>
      </c>
      <c r="G9" s="64" t="inlineStr">
        <is>
          <t>ACCUM. INTEREST</t>
        </is>
      </c>
      <c r="H9" s="64" t="inlineStr">
        <is>
          <t>AMORTISATION</t>
        </is>
      </c>
      <c r="I9" s="64" t="inlineStr">
        <is>
          <t>BALANCE</t>
        </is>
      </c>
      <c r="J9" s="64" t="inlineStr">
        <is>
          <t>DEPRECIATION</t>
        </is>
      </c>
      <c r="K9" s="64" t="inlineStr">
        <is>
          <t>ROU BALANCE</t>
        </is>
      </c>
      <c r="L9" s="64" t="inlineStr">
        <is>
          <t>DEFERRED INT. BAL</t>
        </is>
      </c>
      <c r="M9" s="64" t="inlineStr">
        <is>
          <t>VAT BALANCE</t>
        </is>
      </c>
    </row>
    <row r="10" ht="15" customHeight="1" s="54">
      <c r="A10" s="56" t="n">
        <v>1</v>
      </c>
      <c r="B10" s="65">
        <f>EOMONTH($E$5,1)</f>
        <v/>
      </c>
      <c r="C10" s="66">
        <f>IF(1=$B$5,I9+F10,$E$4)</f>
        <v/>
      </c>
      <c r="D10" s="67">
        <f>ROUND(C10*$E$3/100,2)</f>
        <v/>
      </c>
      <c r="E10" s="68">
        <f>C10+D10</f>
        <v/>
      </c>
      <c r="F10" s="69">
        <f>ROUND($B$3*$B$4/100*O10/365,2)</f>
        <v/>
      </c>
      <c r="G10" s="70">
        <f>IF(1=1,F10,G9+F10)</f>
        <v/>
      </c>
      <c r="H10" s="71">
        <f>C10-F10</f>
        <v/>
      </c>
      <c r="I10" s="66">
        <f>$B$3-H10</f>
        <v/>
      </c>
      <c r="J10" s="72">
        <f>ROUND($B$3/$H$3,2)</f>
        <v/>
      </c>
      <c r="K10" s="72">
        <f>$B$3-J10</f>
        <v/>
      </c>
      <c r="L10" s="73">
        <f>$H$4-G10</f>
        <v/>
      </c>
      <c r="M10" s="73">
        <f>ROUND($H$5-SUM($D$10:D10),2)</f>
        <v/>
      </c>
      <c r="O10" s="74">
        <f>B10-$E$5</f>
        <v/>
      </c>
    </row>
    <row r="11" ht="15" customHeight="1" s="54">
      <c r="A11" s="56" t="n">
        <v>2</v>
      </c>
      <c r="B11" s="65">
        <f>EOMONTH($E$5,2)</f>
        <v/>
      </c>
      <c r="C11" s="66">
        <f>IF(2=$B$5,I10+F11,$E$4)</f>
        <v/>
      </c>
      <c r="D11" s="67">
        <f>ROUND(C11*$E$3/100,2)</f>
        <v/>
      </c>
      <c r="E11" s="68">
        <f>C11+D11</f>
        <v/>
      </c>
      <c r="F11" s="69">
        <f>ROUND(I10*$B$4/100*O11/365,2)</f>
        <v/>
      </c>
      <c r="G11" s="70">
        <f>IF(2=1,F11,G10+F11)</f>
        <v/>
      </c>
      <c r="H11" s="71">
        <f>C11-F11</f>
        <v/>
      </c>
      <c r="I11" s="66">
        <f>I10-H11</f>
        <v/>
      </c>
      <c r="J11" s="72">
        <f>ROUND($B$3/$H$3,2)</f>
        <v/>
      </c>
      <c r="K11" s="72">
        <f>K10-J11</f>
        <v/>
      </c>
      <c r="L11" s="73">
        <f>$H$4-G11</f>
        <v/>
      </c>
      <c r="M11" s="73">
        <f>ROUND($H$5-SUM($D$10:D11),2)</f>
        <v/>
      </c>
      <c r="O11" s="74">
        <f>B11-B10</f>
        <v/>
      </c>
    </row>
    <row r="12" ht="15" customHeight="1" s="54">
      <c r="A12" s="56" t="n">
        <v>3</v>
      </c>
      <c r="B12" s="65">
        <f>EOMONTH($E$5,3)</f>
        <v/>
      </c>
      <c r="C12" s="66">
        <f>IF(3=$B$5,I11+F12,$E$4)</f>
        <v/>
      </c>
      <c r="D12" s="67">
        <f>ROUND(C12*$E$3/100,2)</f>
        <v/>
      </c>
      <c r="E12" s="68">
        <f>C12+D12</f>
        <v/>
      </c>
      <c r="F12" s="69">
        <f>ROUND(I11*$B$4/100*O12/365,2)</f>
        <v/>
      </c>
      <c r="G12" s="70">
        <f>IF(3=1,F12,G11+F12)</f>
        <v/>
      </c>
      <c r="H12" s="71">
        <f>C12-F12</f>
        <v/>
      </c>
      <c r="I12" s="66">
        <f>I11-H12</f>
        <v/>
      </c>
      <c r="J12" s="72">
        <f>ROUND($B$3/$H$3,2)</f>
        <v/>
      </c>
      <c r="K12" s="72">
        <f>K11-J12</f>
        <v/>
      </c>
      <c r="L12" s="73">
        <f>$H$4-G12</f>
        <v/>
      </c>
      <c r="M12" s="73">
        <f>ROUND($H$5-SUM($D$10:D12),2)</f>
        <v/>
      </c>
      <c r="O12" s="74">
        <f>B12-B11</f>
        <v/>
      </c>
    </row>
    <row r="13" ht="15" customHeight="1" s="54">
      <c r="A13" s="56" t="n">
        <v>4</v>
      </c>
      <c r="B13" s="65">
        <f>EOMONTH($E$5,4)</f>
        <v/>
      </c>
      <c r="C13" s="66">
        <f>IF(4=$B$5,I12+F13,$E$4)</f>
        <v/>
      </c>
      <c r="D13" s="67">
        <f>ROUND(C13*$E$3/100,2)</f>
        <v/>
      </c>
      <c r="E13" s="68">
        <f>C13+D13</f>
        <v/>
      </c>
      <c r="F13" s="69">
        <f>ROUND(I12*$B$4/100*O13/365,2)</f>
        <v/>
      </c>
      <c r="G13" s="70">
        <f>IF(4=1,F13,G12+F13)</f>
        <v/>
      </c>
      <c r="H13" s="71">
        <f>C13-F13</f>
        <v/>
      </c>
      <c r="I13" s="66">
        <f>I12-H13</f>
        <v/>
      </c>
      <c r="J13" s="72">
        <f>ROUND($B$3/$H$3,2)</f>
        <v/>
      </c>
      <c r="K13" s="72">
        <f>K12-J13</f>
        <v/>
      </c>
      <c r="L13" s="73">
        <f>$H$4-G13</f>
        <v/>
      </c>
      <c r="M13" s="73">
        <f>ROUND($H$5-SUM($D$10:D13),2)</f>
        <v/>
      </c>
      <c r="O13" s="74">
        <f>B13-B12</f>
        <v/>
      </c>
    </row>
    <row r="14" ht="15" customHeight="1" s="54">
      <c r="A14" s="56" t="n">
        <v>5</v>
      </c>
      <c r="B14" s="65">
        <f>EOMONTH($E$5,5)</f>
        <v/>
      </c>
      <c r="C14" s="66">
        <f>IF(5=$B$5,I13+F14,$E$4)</f>
        <v/>
      </c>
      <c r="D14" s="67">
        <f>ROUND(C14*$E$3/100,2)</f>
        <v/>
      </c>
      <c r="E14" s="68">
        <f>C14+D14</f>
        <v/>
      </c>
      <c r="F14" s="69">
        <f>ROUND(I13*$B$4/100*O14/365,2)</f>
        <v/>
      </c>
      <c r="G14" s="70">
        <f>IF(5=1,F14,G13+F14)</f>
        <v/>
      </c>
      <c r="H14" s="71">
        <f>C14-F14</f>
        <v/>
      </c>
      <c r="I14" s="66">
        <f>I13-H14</f>
        <v/>
      </c>
      <c r="J14" s="72">
        <f>ROUND($B$3/$H$3,2)</f>
        <v/>
      </c>
      <c r="K14" s="72">
        <f>K13-J14</f>
        <v/>
      </c>
      <c r="L14" s="73">
        <f>$H$4-G14</f>
        <v/>
      </c>
      <c r="M14" s="73">
        <f>ROUND($H$5-SUM($D$10:D14),2)</f>
        <v/>
      </c>
      <c r="O14" s="74">
        <f>B14-B13</f>
        <v/>
      </c>
    </row>
    <row r="15" ht="15" customHeight="1" s="54">
      <c r="A15" s="56" t="n">
        <v>6</v>
      </c>
      <c r="B15" s="65">
        <f>EOMONTH($E$5,6)</f>
        <v/>
      </c>
      <c r="C15" s="66">
        <f>IF(6=$B$5,I14+F15,$E$4)</f>
        <v/>
      </c>
      <c r="D15" s="67">
        <f>ROUND(C15*$E$3/100,2)</f>
        <v/>
      </c>
      <c r="E15" s="68">
        <f>C15+D15</f>
        <v/>
      </c>
      <c r="F15" s="69">
        <f>ROUND(I14*$B$4/100*O15/365,2)</f>
        <v/>
      </c>
      <c r="G15" s="70">
        <f>IF(6=1,F15,G14+F15)</f>
        <v/>
      </c>
      <c r="H15" s="71">
        <f>C15-F15</f>
        <v/>
      </c>
      <c r="I15" s="66">
        <f>I14-H15</f>
        <v/>
      </c>
      <c r="J15" s="72">
        <f>ROUND($B$3/$H$3,2)</f>
        <v/>
      </c>
      <c r="K15" s="72">
        <f>K14-J15</f>
        <v/>
      </c>
      <c r="L15" s="73">
        <f>$H$4-G15</f>
        <v/>
      </c>
      <c r="M15" s="73">
        <f>ROUND($H$5-SUM($D$10:D15),2)</f>
        <v/>
      </c>
      <c r="O15" s="74">
        <f>B15-B14</f>
        <v/>
      </c>
    </row>
    <row r="16" ht="15" customHeight="1" s="54">
      <c r="A16" s="56" t="n">
        <v>7</v>
      </c>
      <c r="B16" s="65">
        <f>EOMONTH($E$5,7)</f>
        <v/>
      </c>
      <c r="C16" s="66">
        <f>IF(7=$B$5,I15+F16,$E$4)</f>
        <v/>
      </c>
      <c r="D16" s="67">
        <f>ROUND(C16*$E$3/100,2)</f>
        <v/>
      </c>
      <c r="E16" s="68">
        <f>C16+D16</f>
        <v/>
      </c>
      <c r="F16" s="69">
        <f>ROUND(I15*$B$4/100*O16/365,2)</f>
        <v/>
      </c>
      <c r="G16" s="70">
        <f>IF(7=1,F16,G15+F16)</f>
        <v/>
      </c>
      <c r="H16" s="71">
        <f>C16-F16</f>
        <v/>
      </c>
      <c r="I16" s="66">
        <f>I15-H16</f>
        <v/>
      </c>
      <c r="J16" s="72">
        <f>ROUND($B$3/$H$3,2)</f>
        <v/>
      </c>
      <c r="K16" s="72">
        <f>K15-J16</f>
        <v/>
      </c>
      <c r="L16" s="73">
        <f>$H$4-G16</f>
        <v/>
      </c>
      <c r="M16" s="73">
        <f>ROUND($H$5-SUM($D$10:D16),2)</f>
        <v/>
      </c>
      <c r="O16" s="74">
        <f>B16-B15</f>
        <v/>
      </c>
    </row>
    <row r="17" ht="15" customHeight="1" s="54">
      <c r="A17" s="56" t="n">
        <v>8</v>
      </c>
      <c r="B17" s="65">
        <f>EOMONTH($E$5,8)</f>
        <v/>
      </c>
      <c r="C17" s="66">
        <f>IF(8=$B$5,I16+F17,$E$4)</f>
        <v/>
      </c>
      <c r="D17" s="67">
        <f>ROUND(C17*$E$3/100,2)</f>
        <v/>
      </c>
      <c r="E17" s="68">
        <f>C17+D17</f>
        <v/>
      </c>
      <c r="F17" s="69">
        <f>ROUND(I16*$B$4/100*O17/365,2)</f>
        <v/>
      </c>
      <c r="G17" s="70">
        <f>IF(8=1,F17,G16+F17)</f>
        <v/>
      </c>
      <c r="H17" s="71">
        <f>C17-F17</f>
        <v/>
      </c>
      <c r="I17" s="66">
        <f>I16-H17</f>
        <v/>
      </c>
      <c r="J17" s="72">
        <f>ROUND($B$3/$H$3,2)</f>
        <v/>
      </c>
      <c r="K17" s="72">
        <f>K16-J17</f>
        <v/>
      </c>
      <c r="L17" s="73">
        <f>$H$4-G17</f>
        <v/>
      </c>
      <c r="M17" s="73">
        <f>ROUND($H$5-SUM($D$10:D17),2)</f>
        <v/>
      </c>
      <c r="O17" s="74">
        <f>B17-B16</f>
        <v/>
      </c>
    </row>
    <row r="18" ht="15" customHeight="1" s="54">
      <c r="A18" s="56" t="n">
        <v>9</v>
      </c>
      <c r="B18" s="65">
        <f>EOMONTH($E$5,9)</f>
        <v/>
      </c>
      <c r="C18" s="66">
        <f>IF(9=$B$5,I17+F18,$E$4)</f>
        <v/>
      </c>
      <c r="D18" s="67">
        <f>ROUND(C18*$E$3/100,2)</f>
        <v/>
      </c>
      <c r="E18" s="68">
        <f>C18+D18</f>
        <v/>
      </c>
      <c r="F18" s="69">
        <f>ROUND(I17*$B$4/100*O18/365,2)</f>
        <v/>
      </c>
      <c r="G18" s="70">
        <f>IF(9=1,F18,G17+F18)</f>
        <v/>
      </c>
      <c r="H18" s="71">
        <f>C18-F18</f>
        <v/>
      </c>
      <c r="I18" s="66">
        <f>I17-H18</f>
        <v/>
      </c>
      <c r="J18" s="72">
        <f>ROUND($B$3/$H$3,2)</f>
        <v/>
      </c>
      <c r="K18" s="72">
        <f>K17-J18</f>
        <v/>
      </c>
      <c r="L18" s="73">
        <f>$H$4-G18</f>
        <v/>
      </c>
      <c r="M18" s="73">
        <f>ROUND($H$5-SUM($D$10:D18),2)</f>
        <v/>
      </c>
      <c r="O18" s="74">
        <f>B18-B17</f>
        <v/>
      </c>
    </row>
    <row r="19" ht="15" customHeight="1" s="54">
      <c r="A19" s="56" t="n">
        <v>10</v>
      </c>
      <c r="B19" s="65">
        <f>EOMONTH($E$5,10)</f>
        <v/>
      </c>
      <c r="C19" s="66">
        <f>IF(10=$B$5,I18+F19,$E$4)</f>
        <v/>
      </c>
      <c r="D19" s="67">
        <f>ROUND(C19*$E$3/100,2)</f>
        <v/>
      </c>
      <c r="E19" s="68">
        <f>C19+D19</f>
        <v/>
      </c>
      <c r="F19" s="69">
        <f>ROUND(I18*$B$4/100*O19/365,2)</f>
        <v/>
      </c>
      <c r="G19" s="70">
        <f>IF(10=1,F19,G18+F19)</f>
        <v/>
      </c>
      <c r="H19" s="71">
        <f>C19-F19</f>
        <v/>
      </c>
      <c r="I19" s="66">
        <f>I18-H19</f>
        <v/>
      </c>
      <c r="J19" s="72">
        <f>ROUND($B$3/$H$3,2)</f>
        <v/>
      </c>
      <c r="K19" s="72">
        <f>K18-J19</f>
        <v/>
      </c>
      <c r="L19" s="73">
        <f>$H$4-G19</f>
        <v/>
      </c>
      <c r="M19" s="73">
        <f>ROUND($H$5-SUM($D$10:D19),2)</f>
        <v/>
      </c>
      <c r="O19" s="74">
        <f>B19-B18</f>
        <v/>
      </c>
    </row>
    <row r="20" ht="15" customHeight="1" s="54">
      <c r="A20" s="56" t="n">
        <v>11</v>
      </c>
      <c r="B20" s="65">
        <f>EOMONTH($E$5,11)</f>
        <v/>
      </c>
      <c r="C20" s="66">
        <f>IF(11=$B$5,I19+F20,$E$4)</f>
        <v/>
      </c>
      <c r="D20" s="67">
        <f>ROUND(C20*$E$3/100,2)</f>
        <v/>
      </c>
      <c r="E20" s="68">
        <f>C20+D20</f>
        <v/>
      </c>
      <c r="F20" s="69">
        <f>ROUND(I19*$B$4/100*O20/365,2)</f>
        <v/>
      </c>
      <c r="G20" s="70">
        <f>IF(11=1,F20,G19+F20)</f>
        <v/>
      </c>
      <c r="H20" s="71">
        <f>C20-F20</f>
        <v/>
      </c>
      <c r="I20" s="66">
        <f>I19-H20</f>
        <v/>
      </c>
      <c r="J20" s="72">
        <f>ROUND($B$3/$H$3,2)</f>
        <v/>
      </c>
      <c r="K20" s="72">
        <f>K19-J20</f>
        <v/>
      </c>
      <c r="L20" s="73">
        <f>$H$4-G20</f>
        <v/>
      </c>
      <c r="M20" s="73">
        <f>ROUND($H$5-SUM($D$10:D20),2)</f>
        <v/>
      </c>
      <c r="O20" s="74">
        <f>B20-B19</f>
        <v/>
      </c>
    </row>
    <row r="21" ht="15" customHeight="1" s="54">
      <c r="A21" s="56" t="n">
        <v>12</v>
      </c>
      <c r="B21" s="65">
        <f>EOMONTH($E$5,12)</f>
        <v/>
      </c>
      <c r="C21" s="66">
        <f>IF(12=$B$5,I20+F21,$E$4)</f>
        <v/>
      </c>
      <c r="D21" s="67">
        <f>ROUND(C21*$E$3/100,2)</f>
        <v/>
      </c>
      <c r="E21" s="68">
        <f>C21+D21</f>
        <v/>
      </c>
      <c r="F21" s="69">
        <f>ROUND(I20*$B$4/100*O21/365,2)</f>
        <v/>
      </c>
      <c r="G21" s="70">
        <f>IF(12=1,F21,G20+F21)</f>
        <v/>
      </c>
      <c r="H21" s="71">
        <f>C21-F21</f>
        <v/>
      </c>
      <c r="I21" s="66">
        <f>I20-H21</f>
        <v/>
      </c>
      <c r="J21" s="72">
        <f>ROUND($B$3/$H$3,2)</f>
        <v/>
      </c>
      <c r="K21" s="72">
        <f>K20-J21</f>
        <v/>
      </c>
      <c r="L21" s="73">
        <f>$H$4-G21</f>
        <v/>
      </c>
      <c r="M21" s="73">
        <f>ROUND($H$5-SUM($D$10:D21),2)</f>
        <v/>
      </c>
      <c r="O21" s="74">
        <f>B21-B20</f>
        <v/>
      </c>
    </row>
    <row r="22" ht="15" customHeight="1" s="54">
      <c r="A22" s="56" t="n">
        <v>13</v>
      </c>
      <c r="B22" s="65">
        <f>EOMONTH($E$5,13)</f>
        <v/>
      </c>
      <c r="C22" s="66">
        <f>IF(13=$B$5,I21+F22,$E$4)</f>
        <v/>
      </c>
      <c r="D22" s="67">
        <f>ROUND(C22*$E$3/100,2)</f>
        <v/>
      </c>
      <c r="E22" s="68">
        <f>C22+D22</f>
        <v/>
      </c>
      <c r="F22" s="69">
        <f>ROUND(I21*$B$4/100*O22/365,2)</f>
        <v/>
      </c>
      <c r="G22" s="70">
        <f>IF(13=1,F22,G21+F22)</f>
        <v/>
      </c>
      <c r="H22" s="71">
        <f>C22-F22</f>
        <v/>
      </c>
      <c r="I22" s="66">
        <f>I21-H22</f>
        <v/>
      </c>
      <c r="J22" s="72">
        <f>ROUND($B$3/$H$3,2)</f>
        <v/>
      </c>
      <c r="K22" s="72">
        <f>K21-J22</f>
        <v/>
      </c>
      <c r="L22" s="73">
        <f>$H$4-G22</f>
        <v/>
      </c>
      <c r="M22" s="73">
        <f>ROUND($H$5-SUM($D$10:D22),2)</f>
        <v/>
      </c>
      <c r="O22" s="74">
        <f>B22-B21</f>
        <v/>
      </c>
    </row>
    <row r="23" ht="15" customHeight="1" s="54">
      <c r="A23" s="56" t="n">
        <v>14</v>
      </c>
      <c r="B23" s="65">
        <f>EOMONTH($E$5,14)</f>
        <v/>
      </c>
      <c r="C23" s="66">
        <f>IF(14=$B$5,I22+F23,$E$4)</f>
        <v/>
      </c>
      <c r="D23" s="67">
        <f>ROUND(C23*$E$3/100,2)</f>
        <v/>
      </c>
      <c r="E23" s="68">
        <f>C23+D23</f>
        <v/>
      </c>
      <c r="F23" s="69">
        <f>ROUND(I22*$B$4/100*O23/365,2)</f>
        <v/>
      </c>
      <c r="G23" s="70">
        <f>IF(14=1,F23,G22+F23)</f>
        <v/>
      </c>
      <c r="H23" s="71">
        <f>C23-F23</f>
        <v/>
      </c>
      <c r="I23" s="66">
        <f>I22-H23</f>
        <v/>
      </c>
      <c r="J23" s="72">
        <f>ROUND($B$3/$H$3,2)</f>
        <v/>
      </c>
      <c r="K23" s="72">
        <f>K22-J23</f>
        <v/>
      </c>
      <c r="L23" s="73">
        <f>$H$4-G23</f>
        <v/>
      </c>
      <c r="M23" s="73">
        <f>ROUND($H$5-SUM($D$10:D23),2)</f>
        <v/>
      </c>
      <c r="O23" s="74">
        <f>B23-B22</f>
        <v/>
      </c>
    </row>
    <row r="24" ht="15" customHeight="1" s="54">
      <c r="A24" s="56" t="n">
        <v>15</v>
      </c>
      <c r="B24" s="65">
        <f>EOMONTH($E$5,15)</f>
        <v/>
      </c>
      <c r="C24" s="66">
        <f>IF(15=$B$5,I23+F24,$E$4)</f>
        <v/>
      </c>
      <c r="D24" s="67">
        <f>ROUND(C24*$E$3/100,2)</f>
        <v/>
      </c>
      <c r="E24" s="68">
        <f>C24+D24</f>
        <v/>
      </c>
      <c r="F24" s="69">
        <f>ROUND(I23*$B$4/100*O24/365,2)</f>
        <v/>
      </c>
      <c r="G24" s="70">
        <f>IF(15=1,F24,G23+F24)</f>
        <v/>
      </c>
      <c r="H24" s="71">
        <f>C24-F24</f>
        <v/>
      </c>
      <c r="I24" s="66">
        <f>I23-H24</f>
        <v/>
      </c>
      <c r="J24" s="72">
        <f>ROUND($B$3/$H$3,2)</f>
        <v/>
      </c>
      <c r="K24" s="72">
        <f>K23-J24</f>
        <v/>
      </c>
      <c r="L24" s="73">
        <f>$H$4-G24</f>
        <v/>
      </c>
      <c r="M24" s="73">
        <f>ROUND($H$5-SUM($D$10:D24),2)</f>
        <v/>
      </c>
      <c r="O24" s="74">
        <f>B24-B23</f>
        <v/>
      </c>
    </row>
    <row r="25" ht="15" customHeight="1" s="54">
      <c r="A25" s="56" t="n">
        <v>16</v>
      </c>
      <c r="B25" s="65">
        <f>EOMONTH($E$5,16)</f>
        <v/>
      </c>
      <c r="C25" s="66">
        <f>IF(16=$B$5,I24+F25,$E$4)</f>
        <v/>
      </c>
      <c r="D25" s="67">
        <f>ROUND(C25*$E$3/100,2)</f>
        <v/>
      </c>
      <c r="E25" s="68">
        <f>C25+D25</f>
        <v/>
      </c>
      <c r="F25" s="69">
        <f>ROUND(I24*$B$4/100*O25/365,2)</f>
        <v/>
      </c>
      <c r="G25" s="70">
        <f>IF(16=1,F25,G24+F25)</f>
        <v/>
      </c>
      <c r="H25" s="71">
        <f>C25-F25</f>
        <v/>
      </c>
      <c r="I25" s="66">
        <f>I24-H25</f>
        <v/>
      </c>
      <c r="J25" s="72">
        <f>ROUND($B$3/$H$3,2)</f>
        <v/>
      </c>
      <c r="K25" s="72">
        <f>K24-J25</f>
        <v/>
      </c>
      <c r="L25" s="73">
        <f>$H$4-G25</f>
        <v/>
      </c>
      <c r="M25" s="73">
        <f>ROUND($H$5-SUM($D$10:D25),2)</f>
        <v/>
      </c>
      <c r="O25" s="74">
        <f>B25-B24</f>
        <v/>
      </c>
    </row>
    <row r="26" ht="15" customHeight="1" s="54">
      <c r="A26" s="56" t="n">
        <v>17</v>
      </c>
      <c r="B26" s="65">
        <f>EOMONTH($E$5,17)</f>
        <v/>
      </c>
      <c r="C26" s="66">
        <f>IF(17=$B$5,I25+F26,$E$4)</f>
        <v/>
      </c>
      <c r="D26" s="67">
        <f>ROUND(C26*$E$3/100,2)</f>
        <v/>
      </c>
      <c r="E26" s="68">
        <f>C26+D26</f>
        <v/>
      </c>
      <c r="F26" s="69">
        <f>ROUND(I25*$B$4/100*O26/365,2)</f>
        <v/>
      </c>
      <c r="G26" s="70">
        <f>IF(17=1,F26,G25+F26)</f>
        <v/>
      </c>
      <c r="H26" s="71">
        <f>C26-F26</f>
        <v/>
      </c>
      <c r="I26" s="66">
        <f>I25-H26</f>
        <v/>
      </c>
      <c r="J26" s="72">
        <f>ROUND($B$3/$H$3,2)</f>
        <v/>
      </c>
      <c r="K26" s="72">
        <f>K25-J26</f>
        <v/>
      </c>
      <c r="L26" s="73">
        <f>$H$4-G26</f>
        <v/>
      </c>
      <c r="M26" s="73">
        <f>ROUND($H$5-SUM($D$10:D26),2)</f>
        <v/>
      </c>
      <c r="O26" s="74">
        <f>B26-B25</f>
        <v/>
      </c>
    </row>
    <row r="27" ht="15" customHeight="1" s="54">
      <c r="A27" s="56" t="n">
        <v>18</v>
      </c>
      <c r="B27" s="65">
        <f>EOMONTH($E$5,18)</f>
        <v/>
      </c>
      <c r="C27" s="66">
        <f>IF(18=$B$5,I26+F27,$E$4)</f>
        <v/>
      </c>
      <c r="D27" s="67">
        <f>ROUND(C27*$E$3/100,2)</f>
        <v/>
      </c>
      <c r="E27" s="68">
        <f>C27+D27</f>
        <v/>
      </c>
      <c r="F27" s="69">
        <f>ROUND(I26*$B$4/100*O27/365,2)</f>
        <v/>
      </c>
      <c r="G27" s="70">
        <f>IF(18=1,F27,G26+F27)</f>
        <v/>
      </c>
      <c r="H27" s="71">
        <f>C27-F27</f>
        <v/>
      </c>
      <c r="I27" s="66">
        <f>I26-H27</f>
        <v/>
      </c>
      <c r="J27" s="72">
        <f>ROUND($B$3/$H$3,2)</f>
        <v/>
      </c>
      <c r="K27" s="72">
        <f>K26-J27</f>
        <v/>
      </c>
      <c r="L27" s="73">
        <f>$H$4-G27</f>
        <v/>
      </c>
      <c r="M27" s="73">
        <f>ROUND($H$5-SUM($D$10:D27),2)</f>
        <v/>
      </c>
      <c r="O27" s="74">
        <f>B27-B26</f>
        <v/>
      </c>
    </row>
    <row r="28" ht="15" customHeight="1" s="54">
      <c r="A28" s="56" t="n">
        <v>19</v>
      </c>
      <c r="B28" s="65">
        <f>EOMONTH($E$5,19)</f>
        <v/>
      </c>
      <c r="C28" s="66">
        <f>IF(19=$B$5,I27+F28,$E$4)</f>
        <v/>
      </c>
      <c r="D28" s="67">
        <f>ROUND(C28*$E$3/100,2)</f>
        <v/>
      </c>
      <c r="E28" s="68">
        <f>C28+D28</f>
        <v/>
      </c>
      <c r="F28" s="69">
        <f>ROUND(I27*$B$4/100*O28/365,2)</f>
        <v/>
      </c>
      <c r="G28" s="70">
        <f>IF(19=1,F28,G27+F28)</f>
        <v/>
      </c>
      <c r="H28" s="71">
        <f>C28-F28</f>
        <v/>
      </c>
      <c r="I28" s="66">
        <f>I27-H28</f>
        <v/>
      </c>
      <c r="J28" s="72">
        <f>ROUND($B$3/$H$3,2)</f>
        <v/>
      </c>
      <c r="K28" s="72">
        <f>K27-J28</f>
        <v/>
      </c>
      <c r="L28" s="73">
        <f>$H$4-G28</f>
        <v/>
      </c>
      <c r="M28" s="73">
        <f>ROUND($H$5-SUM($D$10:D28),2)</f>
        <v/>
      </c>
      <c r="O28" s="74">
        <f>B28-B27</f>
        <v/>
      </c>
    </row>
    <row r="29" ht="15" customHeight="1" s="54">
      <c r="A29" s="56" t="n">
        <v>20</v>
      </c>
      <c r="B29" s="65">
        <f>EOMONTH($E$5,20)</f>
        <v/>
      </c>
      <c r="C29" s="66">
        <f>IF(20=$B$5,I28+F29,$E$4)</f>
        <v/>
      </c>
      <c r="D29" s="67">
        <f>ROUND(C29*$E$3/100,2)</f>
        <v/>
      </c>
      <c r="E29" s="68">
        <f>C29+D29</f>
        <v/>
      </c>
      <c r="F29" s="69">
        <f>ROUND(I28*$B$4/100*O29/365,2)</f>
        <v/>
      </c>
      <c r="G29" s="70">
        <f>IF(20=1,F29,G28+F29)</f>
        <v/>
      </c>
      <c r="H29" s="71">
        <f>C29-F29</f>
        <v/>
      </c>
      <c r="I29" s="66">
        <f>I28-H29</f>
        <v/>
      </c>
      <c r="J29" s="72">
        <f>ROUND($B$3/$H$3,2)</f>
        <v/>
      </c>
      <c r="K29" s="72">
        <f>K28-J29</f>
        <v/>
      </c>
      <c r="L29" s="73">
        <f>$H$4-G29</f>
        <v/>
      </c>
      <c r="M29" s="73">
        <f>ROUND($H$5-SUM($D$10:D29),2)</f>
        <v/>
      </c>
      <c r="O29" s="74">
        <f>B29-B28</f>
        <v/>
      </c>
    </row>
    <row r="30" ht="15" customHeight="1" s="54">
      <c r="A30" s="56" t="n">
        <v>21</v>
      </c>
      <c r="B30" s="65">
        <f>EOMONTH($E$5,21)</f>
        <v/>
      </c>
      <c r="C30" s="66">
        <f>IF(21=$B$5,I29+F30,$E$4)</f>
        <v/>
      </c>
      <c r="D30" s="67">
        <f>ROUND(C30*$E$3/100,2)</f>
        <v/>
      </c>
      <c r="E30" s="68">
        <f>C30+D30</f>
        <v/>
      </c>
      <c r="F30" s="69">
        <f>ROUND(I29*$B$4/100*O30/365,2)</f>
        <v/>
      </c>
      <c r="G30" s="70">
        <f>IF(21=1,F30,G29+F30)</f>
        <v/>
      </c>
      <c r="H30" s="71">
        <f>C30-F30</f>
        <v/>
      </c>
      <c r="I30" s="66">
        <f>I29-H30</f>
        <v/>
      </c>
      <c r="J30" s="72">
        <f>ROUND($B$3/$H$3,2)</f>
        <v/>
      </c>
      <c r="K30" s="72">
        <f>K29-J30</f>
        <v/>
      </c>
      <c r="L30" s="73">
        <f>$H$4-G30</f>
        <v/>
      </c>
      <c r="M30" s="73">
        <f>ROUND($H$5-SUM($D$10:D30),2)</f>
        <v/>
      </c>
      <c r="O30" s="74">
        <f>B30-B29</f>
        <v/>
      </c>
    </row>
    <row r="31" ht="15" customHeight="1" s="54">
      <c r="A31" s="56" t="n">
        <v>22</v>
      </c>
      <c r="B31" s="65">
        <f>EOMONTH($E$5,22)</f>
        <v/>
      </c>
      <c r="C31" s="66">
        <f>IF(22=$B$5,I30+F31,$E$4)</f>
        <v/>
      </c>
      <c r="D31" s="67">
        <f>ROUND(C31*$E$3/100,2)</f>
        <v/>
      </c>
      <c r="E31" s="68">
        <f>C31+D31</f>
        <v/>
      </c>
      <c r="F31" s="69">
        <f>ROUND(I30*$B$4/100*O31/365,2)</f>
        <v/>
      </c>
      <c r="G31" s="70">
        <f>IF(22=1,F31,G30+F31)</f>
        <v/>
      </c>
      <c r="H31" s="71">
        <f>C31-F31</f>
        <v/>
      </c>
      <c r="I31" s="66">
        <f>I30-H31</f>
        <v/>
      </c>
      <c r="J31" s="72">
        <f>ROUND($B$3/$H$3,2)</f>
        <v/>
      </c>
      <c r="K31" s="72">
        <f>K30-J31</f>
        <v/>
      </c>
      <c r="L31" s="73">
        <f>$H$4-G31</f>
        <v/>
      </c>
      <c r="M31" s="73">
        <f>ROUND($H$5-SUM($D$10:D31),2)</f>
        <v/>
      </c>
      <c r="O31" s="74">
        <f>B31-B30</f>
        <v/>
      </c>
    </row>
    <row r="32" ht="15" customHeight="1" s="54">
      <c r="A32" s="56" t="n">
        <v>23</v>
      </c>
      <c r="B32" s="65">
        <f>EOMONTH($E$5,23)</f>
        <v/>
      </c>
      <c r="C32" s="66">
        <f>IF(23=$B$5,I31+F32,$E$4)</f>
        <v/>
      </c>
      <c r="D32" s="67">
        <f>ROUND(C32*$E$3/100,2)</f>
        <v/>
      </c>
      <c r="E32" s="68">
        <f>C32+D32</f>
        <v/>
      </c>
      <c r="F32" s="69">
        <f>ROUND(I31*$B$4/100*O32/365,2)</f>
        <v/>
      </c>
      <c r="G32" s="70">
        <f>IF(23=1,F32,G31+F32)</f>
        <v/>
      </c>
      <c r="H32" s="71">
        <f>C32-F32</f>
        <v/>
      </c>
      <c r="I32" s="66">
        <f>I31-H32</f>
        <v/>
      </c>
      <c r="J32" s="72">
        <f>ROUND($B$3/$H$3,2)</f>
        <v/>
      </c>
      <c r="K32" s="72">
        <f>K31-J32</f>
        <v/>
      </c>
      <c r="L32" s="73">
        <f>$H$4-G32</f>
        <v/>
      </c>
      <c r="M32" s="73">
        <f>ROUND($H$5-SUM($D$10:D32),2)</f>
        <v/>
      </c>
      <c r="O32" s="74">
        <f>B32-B31</f>
        <v/>
      </c>
    </row>
    <row r="33" ht="15" customHeight="1" s="54">
      <c r="A33" s="56" t="n">
        <v>24</v>
      </c>
      <c r="B33" s="65">
        <f>EOMONTH($E$5,24)</f>
        <v/>
      </c>
      <c r="C33" s="66">
        <f>IF(24=$B$5,I32+F33,$E$4)</f>
        <v/>
      </c>
      <c r="D33" s="67">
        <f>ROUND(C33*$E$3/100,2)</f>
        <v/>
      </c>
      <c r="E33" s="68">
        <f>C33+D33</f>
        <v/>
      </c>
      <c r="F33" s="69">
        <f>ROUND(I32*$B$4/100*O33/365,2)</f>
        <v/>
      </c>
      <c r="G33" s="70">
        <f>IF(24=1,F33,G32+F33)</f>
        <v/>
      </c>
      <c r="H33" s="71">
        <f>C33-F33</f>
        <v/>
      </c>
      <c r="I33" s="66">
        <f>I32-H33</f>
        <v/>
      </c>
      <c r="J33" s="72">
        <f>ROUND($B$3/$H$3,2)</f>
        <v/>
      </c>
      <c r="K33" s="72">
        <f>K32-J33</f>
        <v/>
      </c>
      <c r="L33" s="73">
        <f>$H$4-G33</f>
        <v/>
      </c>
      <c r="M33" s="73">
        <f>ROUND($H$5-SUM($D$10:D33),2)</f>
        <v/>
      </c>
      <c r="O33" s="74">
        <f>B33-B32</f>
        <v/>
      </c>
    </row>
    <row r="34" ht="15" customHeight="1" s="54">
      <c r="A34" s="56" t="n">
        <v>25</v>
      </c>
      <c r="B34" s="65">
        <f>EOMONTH($E$5,25)</f>
        <v/>
      </c>
      <c r="C34" s="66">
        <f>IF(25=$B$5,I33+F34,$E$4)</f>
        <v/>
      </c>
      <c r="D34" s="67">
        <f>ROUND(C34*$E$3/100,2)</f>
        <v/>
      </c>
      <c r="E34" s="68">
        <f>C34+D34</f>
        <v/>
      </c>
      <c r="F34" s="69">
        <f>ROUND(I33*$B$4/100*O34/365,2)</f>
        <v/>
      </c>
      <c r="G34" s="70">
        <f>IF(25=1,F34,G33+F34)</f>
        <v/>
      </c>
      <c r="H34" s="71">
        <f>C34-F34</f>
        <v/>
      </c>
      <c r="I34" s="66">
        <f>I33-H34</f>
        <v/>
      </c>
      <c r="J34" s="72">
        <f>ROUND($B$3/$H$3,2)</f>
        <v/>
      </c>
      <c r="K34" s="72">
        <f>K33-J34</f>
        <v/>
      </c>
      <c r="L34" s="73">
        <f>$H$4-G34</f>
        <v/>
      </c>
      <c r="M34" s="73">
        <f>ROUND($H$5-SUM($D$10:D34),2)</f>
        <v/>
      </c>
      <c r="O34" s="74">
        <f>B34-B33</f>
        <v/>
      </c>
    </row>
    <row r="35" ht="15" customHeight="1" s="54">
      <c r="A35" s="56" t="n">
        <v>26</v>
      </c>
      <c r="B35" s="65">
        <f>EOMONTH($E$5,26)</f>
        <v/>
      </c>
      <c r="C35" s="66">
        <f>IF(26=$B$5,I34+F35,$E$4)</f>
        <v/>
      </c>
      <c r="D35" s="67">
        <f>ROUND(C35*$E$3/100,2)</f>
        <v/>
      </c>
      <c r="E35" s="68">
        <f>C35+D35</f>
        <v/>
      </c>
      <c r="F35" s="69">
        <f>ROUND(I34*$B$4/100*O35/365,2)</f>
        <v/>
      </c>
      <c r="G35" s="70">
        <f>IF(26=1,F35,G34+F35)</f>
        <v/>
      </c>
      <c r="H35" s="71">
        <f>C35-F35</f>
        <v/>
      </c>
      <c r="I35" s="66">
        <f>I34-H35</f>
        <v/>
      </c>
      <c r="J35" s="72">
        <f>ROUND($B$3/$H$3,2)</f>
        <v/>
      </c>
      <c r="K35" s="72">
        <f>K34-J35</f>
        <v/>
      </c>
      <c r="L35" s="73">
        <f>$H$4-G35</f>
        <v/>
      </c>
      <c r="M35" s="73">
        <f>ROUND($H$5-SUM($D$10:D35),2)</f>
        <v/>
      </c>
      <c r="O35" s="74">
        <f>B35-B34</f>
        <v/>
      </c>
    </row>
    <row r="36" ht="15" customHeight="1" s="54">
      <c r="A36" s="56" t="n">
        <v>27</v>
      </c>
      <c r="B36" s="65">
        <f>EOMONTH($E$5,27)</f>
        <v/>
      </c>
      <c r="C36" s="66">
        <f>IF(27=$B$5,I35+F36,$E$4)</f>
        <v/>
      </c>
      <c r="D36" s="67">
        <f>ROUND(C36*$E$3/100,2)</f>
        <v/>
      </c>
      <c r="E36" s="68">
        <f>C36+D36</f>
        <v/>
      </c>
      <c r="F36" s="69">
        <f>ROUND(I35*$B$4/100*O36/365,2)</f>
        <v/>
      </c>
      <c r="G36" s="70">
        <f>IF(27=1,F36,G35+F36)</f>
        <v/>
      </c>
      <c r="H36" s="71">
        <f>C36-F36</f>
        <v/>
      </c>
      <c r="I36" s="66">
        <f>I35-H36</f>
        <v/>
      </c>
      <c r="J36" s="72">
        <f>ROUND($B$3/$H$3,2)</f>
        <v/>
      </c>
      <c r="K36" s="72">
        <f>K35-J36</f>
        <v/>
      </c>
      <c r="L36" s="73">
        <f>$H$4-G36</f>
        <v/>
      </c>
      <c r="M36" s="73">
        <f>ROUND($H$5-SUM($D$10:D36),2)</f>
        <v/>
      </c>
      <c r="O36" s="74">
        <f>B36-B35</f>
        <v/>
      </c>
    </row>
    <row r="37" ht="15" customHeight="1" s="54">
      <c r="A37" s="56" t="n">
        <v>28</v>
      </c>
      <c r="B37" s="65">
        <f>EOMONTH($E$5,28)</f>
        <v/>
      </c>
      <c r="C37" s="66">
        <f>IF(28=$B$5,I36+F37,$E$4)</f>
        <v/>
      </c>
      <c r="D37" s="67">
        <f>ROUND(C37*$E$3/100,2)</f>
        <v/>
      </c>
      <c r="E37" s="68">
        <f>C37+D37</f>
        <v/>
      </c>
      <c r="F37" s="69">
        <f>ROUND(I36*$B$4/100*O37/365,2)</f>
        <v/>
      </c>
      <c r="G37" s="70">
        <f>IF(28=1,F37,G36+F37)</f>
        <v/>
      </c>
      <c r="H37" s="71">
        <f>C37-F37</f>
        <v/>
      </c>
      <c r="I37" s="66">
        <f>I36-H37</f>
        <v/>
      </c>
      <c r="J37" s="72">
        <f>ROUND($B$3/$H$3,2)</f>
        <v/>
      </c>
      <c r="K37" s="72">
        <f>K36-J37</f>
        <v/>
      </c>
      <c r="L37" s="73">
        <f>$H$4-G37</f>
        <v/>
      </c>
      <c r="M37" s="73">
        <f>ROUND($H$5-SUM($D$10:D37),2)</f>
        <v/>
      </c>
      <c r="O37" s="74">
        <f>B37-B36</f>
        <v/>
      </c>
    </row>
    <row r="38" ht="15" customHeight="1" s="54">
      <c r="A38" s="56" t="n">
        <v>29</v>
      </c>
      <c r="B38" s="65">
        <f>EOMONTH($E$5,29)</f>
        <v/>
      </c>
      <c r="C38" s="66">
        <f>IF(29=$B$5,I37+F38,$E$4)</f>
        <v/>
      </c>
      <c r="D38" s="67">
        <f>ROUND(C38*$E$3/100,2)</f>
        <v/>
      </c>
      <c r="E38" s="68">
        <f>C38+D38</f>
        <v/>
      </c>
      <c r="F38" s="69">
        <f>ROUND(I37*$B$4/100*O38/365,2)</f>
        <v/>
      </c>
      <c r="G38" s="70">
        <f>IF(29=1,F38,G37+F38)</f>
        <v/>
      </c>
      <c r="H38" s="71">
        <f>C38-F38</f>
        <v/>
      </c>
      <c r="I38" s="66">
        <f>I37-H38</f>
        <v/>
      </c>
      <c r="J38" s="72">
        <f>ROUND($B$3/$H$3,2)</f>
        <v/>
      </c>
      <c r="K38" s="72">
        <f>K37-J38</f>
        <v/>
      </c>
      <c r="L38" s="73">
        <f>$H$4-G38</f>
        <v/>
      </c>
      <c r="M38" s="73">
        <f>ROUND($H$5-SUM($D$10:D38),2)</f>
        <v/>
      </c>
      <c r="O38" s="74">
        <f>B38-B37</f>
        <v/>
      </c>
    </row>
    <row r="39" ht="15" customHeight="1" s="54">
      <c r="A39" s="56" t="n">
        <v>30</v>
      </c>
      <c r="B39" s="65">
        <f>EOMONTH($E$5,30)</f>
        <v/>
      </c>
      <c r="C39" s="66">
        <f>IF(30=$B$5,I38+F39,$E$4)</f>
        <v/>
      </c>
      <c r="D39" s="67">
        <f>ROUND(C39*$E$3/100,2)</f>
        <v/>
      </c>
      <c r="E39" s="68">
        <f>C39+D39</f>
        <v/>
      </c>
      <c r="F39" s="69">
        <f>ROUND(I38*$B$4/100*O39/365,2)</f>
        <v/>
      </c>
      <c r="G39" s="70">
        <f>IF(30=1,F39,G38+F39)</f>
        <v/>
      </c>
      <c r="H39" s="71">
        <f>C39-F39</f>
        <v/>
      </c>
      <c r="I39" s="66">
        <f>I38-H39</f>
        <v/>
      </c>
      <c r="J39" s="72">
        <f>ROUND($B$3/$H$3,2)</f>
        <v/>
      </c>
      <c r="K39" s="72">
        <f>K38-J39</f>
        <v/>
      </c>
      <c r="L39" s="73">
        <f>$H$4-G39</f>
        <v/>
      </c>
      <c r="M39" s="73">
        <f>ROUND($H$5-SUM($D$10:D39),2)</f>
        <v/>
      </c>
      <c r="O39" s="74">
        <f>B39-B38</f>
        <v/>
      </c>
    </row>
    <row r="40" ht="15" customHeight="1" s="54">
      <c r="A40" s="56" t="n">
        <v>31</v>
      </c>
      <c r="B40" s="65">
        <f>EOMONTH($E$5,31)</f>
        <v/>
      </c>
      <c r="C40" s="66">
        <f>IF(31=$B$5,I39+F40,$E$4)</f>
        <v/>
      </c>
      <c r="D40" s="67">
        <f>ROUND(C40*$E$3/100,2)</f>
        <v/>
      </c>
      <c r="E40" s="68">
        <f>C40+D40</f>
        <v/>
      </c>
      <c r="F40" s="69">
        <f>ROUND(I39*$B$4/100*O40/365,2)</f>
        <v/>
      </c>
      <c r="G40" s="70">
        <f>IF(31=1,F40,G39+F40)</f>
        <v/>
      </c>
      <c r="H40" s="71">
        <f>C40-F40</f>
        <v/>
      </c>
      <c r="I40" s="66">
        <f>I39-H40</f>
        <v/>
      </c>
      <c r="J40" s="72">
        <f>ROUND($B$3/$H$3,2)</f>
        <v/>
      </c>
      <c r="K40" s="72">
        <f>K39-J40</f>
        <v/>
      </c>
      <c r="L40" s="73">
        <f>$H$4-G40</f>
        <v/>
      </c>
      <c r="M40" s="73">
        <f>ROUND($H$5-SUM($D$10:D40),2)</f>
        <v/>
      </c>
      <c r="O40" s="74">
        <f>B40-B39</f>
        <v/>
      </c>
    </row>
    <row r="41" ht="15" customHeight="1" s="54">
      <c r="A41" s="56" t="n">
        <v>32</v>
      </c>
      <c r="B41" s="65">
        <f>EOMONTH($E$5,32)</f>
        <v/>
      </c>
      <c r="C41" s="66">
        <f>IF(32=$B$5,I40+F41,$E$4)</f>
        <v/>
      </c>
      <c r="D41" s="67">
        <f>ROUND(C41*$E$3/100,2)</f>
        <v/>
      </c>
      <c r="E41" s="68">
        <f>C41+D41</f>
        <v/>
      </c>
      <c r="F41" s="69">
        <f>ROUND(I40*$B$4/100*O41/365,2)</f>
        <v/>
      </c>
      <c r="G41" s="70">
        <f>IF(32=1,F41,G40+F41)</f>
        <v/>
      </c>
      <c r="H41" s="71">
        <f>C41-F41</f>
        <v/>
      </c>
      <c r="I41" s="66">
        <f>I40-H41</f>
        <v/>
      </c>
      <c r="J41" s="72">
        <f>ROUND($B$3/$H$3,2)</f>
        <v/>
      </c>
      <c r="K41" s="72">
        <f>K40-J41</f>
        <v/>
      </c>
      <c r="L41" s="73">
        <f>$H$4-G41</f>
        <v/>
      </c>
      <c r="M41" s="73">
        <f>ROUND($H$5-SUM($D$10:D41),2)</f>
        <v/>
      </c>
      <c r="O41" s="74">
        <f>B41-B40</f>
        <v/>
      </c>
    </row>
    <row r="42" ht="15" customHeight="1" s="54">
      <c r="A42" s="56" t="n">
        <v>33</v>
      </c>
      <c r="B42" s="65">
        <f>EOMONTH($E$5,33)</f>
        <v/>
      </c>
      <c r="C42" s="66">
        <f>IF(33=$B$5,I41+F42,$E$4)</f>
        <v/>
      </c>
      <c r="D42" s="67">
        <f>ROUND(C42*$E$3/100,2)</f>
        <v/>
      </c>
      <c r="E42" s="68">
        <f>C42+D42</f>
        <v/>
      </c>
      <c r="F42" s="69">
        <f>ROUND(I41*$B$4/100*O42/365,2)</f>
        <v/>
      </c>
      <c r="G42" s="70">
        <f>IF(33=1,F42,G41+F42)</f>
        <v/>
      </c>
      <c r="H42" s="71">
        <f>C42-F42</f>
        <v/>
      </c>
      <c r="I42" s="66">
        <f>I41-H42</f>
        <v/>
      </c>
      <c r="J42" s="72">
        <f>ROUND($B$3/$H$3,2)</f>
        <v/>
      </c>
      <c r="K42" s="72">
        <f>K41-J42</f>
        <v/>
      </c>
      <c r="L42" s="73">
        <f>$H$4-G42</f>
        <v/>
      </c>
      <c r="M42" s="73">
        <f>ROUND($H$5-SUM($D$10:D42),2)</f>
        <v/>
      </c>
      <c r="O42" s="74">
        <f>B42-B41</f>
        <v/>
      </c>
    </row>
    <row r="43" ht="15" customHeight="1" s="54">
      <c r="A43" s="56" t="n">
        <v>34</v>
      </c>
      <c r="B43" s="65">
        <f>EOMONTH($E$5,34)</f>
        <v/>
      </c>
      <c r="C43" s="66">
        <f>IF(34=$B$5,I42+F43,$E$4)</f>
        <v/>
      </c>
      <c r="D43" s="67">
        <f>ROUND(C43*$E$3/100,2)</f>
        <v/>
      </c>
      <c r="E43" s="68">
        <f>C43+D43</f>
        <v/>
      </c>
      <c r="F43" s="69">
        <f>ROUND(I42*$B$4/100*O43/365,2)</f>
        <v/>
      </c>
      <c r="G43" s="70">
        <f>IF(34=1,F43,G42+F43)</f>
        <v/>
      </c>
      <c r="H43" s="71">
        <f>C43-F43</f>
        <v/>
      </c>
      <c r="I43" s="66">
        <f>I42-H43</f>
        <v/>
      </c>
      <c r="J43" s="72">
        <f>ROUND($B$3/$H$3,2)</f>
        <v/>
      </c>
      <c r="K43" s="72">
        <f>K42-J43</f>
        <v/>
      </c>
      <c r="L43" s="73">
        <f>$H$4-G43</f>
        <v/>
      </c>
      <c r="M43" s="73">
        <f>ROUND($H$5-SUM($D$10:D43),2)</f>
        <v/>
      </c>
      <c r="O43" s="74">
        <f>B43-B42</f>
        <v/>
      </c>
    </row>
    <row r="44" ht="15" customHeight="1" s="54">
      <c r="A44" s="56" t="n">
        <v>35</v>
      </c>
      <c r="B44" s="65">
        <f>EOMONTH($E$5,35)</f>
        <v/>
      </c>
      <c r="C44" s="66">
        <f>IF(35=$B$5,I43+F44,$E$4)</f>
        <v/>
      </c>
      <c r="D44" s="67">
        <f>ROUND(C44*$E$3/100,2)</f>
        <v/>
      </c>
      <c r="E44" s="68">
        <f>C44+D44</f>
        <v/>
      </c>
      <c r="F44" s="69">
        <f>ROUND(I43*$B$4/100*O44/365,2)</f>
        <v/>
      </c>
      <c r="G44" s="70">
        <f>IF(35=1,F44,G43+F44)</f>
        <v/>
      </c>
      <c r="H44" s="71">
        <f>C44-F44</f>
        <v/>
      </c>
      <c r="I44" s="66">
        <f>I43-H44</f>
        <v/>
      </c>
      <c r="J44" s="72">
        <f>ROUND($B$3/$H$3,2)</f>
        <v/>
      </c>
      <c r="K44" s="72">
        <f>K43-J44</f>
        <v/>
      </c>
      <c r="L44" s="73">
        <f>$H$4-G44</f>
        <v/>
      </c>
      <c r="M44" s="73">
        <f>ROUND($H$5-SUM($D$10:D44),2)</f>
        <v/>
      </c>
      <c r="O44" s="74">
        <f>B44-B43</f>
        <v/>
      </c>
    </row>
    <row r="45" ht="15" customHeight="1" s="54">
      <c r="A45" s="56" t="n">
        <v>36</v>
      </c>
      <c r="B45" s="65">
        <f>EOMONTH($E$5,36)</f>
        <v/>
      </c>
      <c r="C45" s="66">
        <f>IF(36=$B$5,I44+F45,$E$4)</f>
        <v/>
      </c>
      <c r="D45" s="67">
        <f>ROUND(C45*$E$3/100,2)</f>
        <v/>
      </c>
      <c r="E45" s="68">
        <f>C45+D45</f>
        <v/>
      </c>
      <c r="F45" s="69">
        <f>ROUND(I44*$B$4/100*O45/365,2)</f>
        <v/>
      </c>
      <c r="G45" s="70">
        <f>IF(36=1,F45,G44+F45)</f>
        <v/>
      </c>
      <c r="H45" s="71">
        <f>C45-F45</f>
        <v/>
      </c>
      <c r="I45" s="66">
        <f>I44-H45</f>
        <v/>
      </c>
      <c r="J45" s="72">
        <f>ROUND($B$3/$H$3,2)</f>
        <v/>
      </c>
      <c r="K45" s="72">
        <f>K44-J45</f>
        <v/>
      </c>
      <c r="L45" s="73">
        <f>$H$4-G45</f>
        <v/>
      </c>
      <c r="M45" s="73">
        <f>ROUND($H$5-SUM($D$10:D45),2)</f>
        <v/>
      </c>
      <c r="O45" s="74">
        <f>B45-B44</f>
        <v/>
      </c>
    </row>
    <row r="46" ht="15" customHeight="1" s="54">
      <c r="A46" s="56" t="n">
        <v>37</v>
      </c>
      <c r="B46" s="65">
        <f>EOMONTH($E$5,37)</f>
        <v/>
      </c>
      <c r="C46" s="66">
        <f>IF(37=$B$5,I45+F46,$E$4)</f>
        <v/>
      </c>
      <c r="D46" s="67">
        <f>ROUND(C46*$E$3/100,2)</f>
        <v/>
      </c>
      <c r="E46" s="68">
        <f>C46+D46</f>
        <v/>
      </c>
      <c r="F46" s="69">
        <f>ROUND(I45*$B$4/100*O46/365,2)</f>
        <v/>
      </c>
      <c r="G46" s="70">
        <f>IF(37=1,F46,G45+F46)</f>
        <v/>
      </c>
      <c r="H46" s="71">
        <f>C46-F46</f>
        <v/>
      </c>
      <c r="I46" s="66">
        <f>I45-H46</f>
        <v/>
      </c>
      <c r="J46" s="72">
        <f>ROUND($B$3/$H$3,2)</f>
        <v/>
      </c>
      <c r="K46" s="72">
        <f>K45-J46</f>
        <v/>
      </c>
      <c r="L46" s="73">
        <f>$H$4-G46</f>
        <v/>
      </c>
      <c r="M46" s="73">
        <f>ROUND($H$5-SUM($D$10:D46),2)</f>
        <v/>
      </c>
      <c r="O46" s="74">
        <f>B46-B45</f>
        <v/>
      </c>
    </row>
    <row r="47" ht="15" customHeight="1" s="54">
      <c r="A47" s="56" t="n">
        <v>38</v>
      </c>
      <c r="B47" s="65">
        <f>EOMONTH($E$5,38)</f>
        <v/>
      </c>
      <c r="C47" s="66">
        <f>IF(38=$B$5,I46+F47,$E$4)</f>
        <v/>
      </c>
      <c r="D47" s="67">
        <f>ROUND(C47*$E$3/100,2)</f>
        <v/>
      </c>
      <c r="E47" s="68">
        <f>C47+D47</f>
        <v/>
      </c>
      <c r="F47" s="69">
        <f>ROUND(I46*$B$4/100*O47/365,2)</f>
        <v/>
      </c>
      <c r="G47" s="70">
        <f>IF(38=1,F47,G46+F47)</f>
        <v/>
      </c>
      <c r="H47" s="71">
        <f>C47-F47</f>
        <v/>
      </c>
      <c r="I47" s="66">
        <f>I46-H47</f>
        <v/>
      </c>
      <c r="J47" s="72">
        <f>ROUND($B$3/$H$3,2)</f>
        <v/>
      </c>
      <c r="K47" s="72">
        <f>K46-J47</f>
        <v/>
      </c>
      <c r="L47" s="73">
        <f>$H$4-G47</f>
        <v/>
      </c>
      <c r="M47" s="73">
        <f>ROUND($H$5-SUM($D$10:D47),2)</f>
        <v/>
      </c>
      <c r="O47" s="74">
        <f>B47-B46</f>
        <v/>
      </c>
    </row>
    <row r="48" ht="15" customHeight="1" s="54">
      <c r="A48" s="56" t="n">
        <v>39</v>
      </c>
      <c r="B48" s="65">
        <f>EOMONTH($E$5,39)</f>
        <v/>
      </c>
      <c r="C48" s="66">
        <f>IF(39=$B$5,I47+F48,$E$4)</f>
        <v/>
      </c>
      <c r="D48" s="67">
        <f>ROUND(C48*$E$3/100,2)</f>
        <v/>
      </c>
      <c r="E48" s="68">
        <f>C48+D48</f>
        <v/>
      </c>
      <c r="F48" s="69">
        <f>ROUND(I47*$B$4/100*O48/365,2)</f>
        <v/>
      </c>
      <c r="G48" s="70">
        <f>IF(39=1,F48,G47+F48)</f>
        <v/>
      </c>
      <c r="H48" s="71">
        <f>C48-F48</f>
        <v/>
      </c>
      <c r="I48" s="66">
        <f>I47-H48</f>
        <v/>
      </c>
      <c r="J48" s="72">
        <f>ROUND($B$3/$H$3,2)</f>
        <v/>
      </c>
      <c r="K48" s="72">
        <f>K47-J48</f>
        <v/>
      </c>
      <c r="L48" s="73">
        <f>$H$4-G48</f>
        <v/>
      </c>
      <c r="M48" s="73">
        <f>ROUND($H$5-SUM($D$10:D48),2)</f>
        <v/>
      </c>
      <c r="O48" s="74">
        <f>B48-B47</f>
        <v/>
      </c>
    </row>
    <row r="49" ht="15" customHeight="1" s="54">
      <c r="A49" s="56" t="n">
        <v>40</v>
      </c>
      <c r="B49" s="65">
        <f>EOMONTH($E$5,40)</f>
        <v/>
      </c>
      <c r="C49" s="66">
        <f>IF(40=$B$5,I48+F49,$E$4)</f>
        <v/>
      </c>
      <c r="D49" s="67">
        <f>ROUND(C49*$E$3/100,2)</f>
        <v/>
      </c>
      <c r="E49" s="68">
        <f>C49+D49</f>
        <v/>
      </c>
      <c r="F49" s="69">
        <f>ROUND(I48*$B$4/100*O49/365,2)</f>
        <v/>
      </c>
      <c r="G49" s="70">
        <f>IF(40=1,F49,G48+F49)</f>
        <v/>
      </c>
      <c r="H49" s="71">
        <f>C49-F49</f>
        <v/>
      </c>
      <c r="I49" s="66">
        <f>I48-H49</f>
        <v/>
      </c>
      <c r="J49" s="72">
        <f>ROUND($B$3/$H$3,2)</f>
        <v/>
      </c>
      <c r="K49" s="72">
        <f>K48-J49</f>
        <v/>
      </c>
      <c r="L49" s="73">
        <f>$H$4-G49</f>
        <v/>
      </c>
      <c r="M49" s="73">
        <f>ROUND($H$5-SUM($D$10:D49),2)</f>
        <v/>
      </c>
      <c r="O49" s="74">
        <f>B49-B48</f>
        <v/>
      </c>
    </row>
    <row r="50" ht="15" customHeight="1" s="54">
      <c r="A50" s="56" t="n">
        <v>41</v>
      </c>
      <c r="B50" s="65">
        <f>EOMONTH($E$5,41)</f>
        <v/>
      </c>
      <c r="C50" s="66">
        <f>IF(41=$B$5,I49+F50,$E$4)</f>
        <v/>
      </c>
      <c r="D50" s="67">
        <f>ROUND(C50*$E$3/100,2)</f>
        <v/>
      </c>
      <c r="E50" s="68">
        <f>C50+D50</f>
        <v/>
      </c>
      <c r="F50" s="69">
        <f>ROUND(I49*$B$4/100*O50/365,2)</f>
        <v/>
      </c>
      <c r="G50" s="70">
        <f>IF(41=1,F50,G49+F50)</f>
        <v/>
      </c>
      <c r="H50" s="71">
        <f>C50-F50</f>
        <v/>
      </c>
      <c r="I50" s="66">
        <f>I49-H50</f>
        <v/>
      </c>
      <c r="J50" s="72">
        <f>ROUND($B$3/$H$3,2)</f>
        <v/>
      </c>
      <c r="K50" s="72">
        <f>K49-J50</f>
        <v/>
      </c>
      <c r="L50" s="73">
        <f>$H$4-G50</f>
        <v/>
      </c>
      <c r="M50" s="73">
        <f>ROUND($H$5-SUM($D$10:D50),2)</f>
        <v/>
      </c>
      <c r="O50" s="74">
        <f>B50-B49</f>
        <v/>
      </c>
    </row>
    <row r="51" ht="15" customHeight="1" s="54">
      <c r="A51" s="56" t="n">
        <v>42</v>
      </c>
      <c r="B51" s="65">
        <f>EOMONTH($E$5,42)</f>
        <v/>
      </c>
      <c r="C51" s="66">
        <f>IF(42=$B$5,I50+F51,$E$4)</f>
        <v/>
      </c>
      <c r="D51" s="67">
        <f>ROUND(C51*$E$3/100,2)</f>
        <v/>
      </c>
      <c r="E51" s="68">
        <f>C51+D51</f>
        <v/>
      </c>
      <c r="F51" s="69">
        <f>ROUND(I50*$B$4/100*O51/365,2)</f>
        <v/>
      </c>
      <c r="G51" s="70">
        <f>IF(42=1,F51,G50+F51)</f>
        <v/>
      </c>
      <c r="H51" s="71">
        <f>C51-F51</f>
        <v/>
      </c>
      <c r="I51" s="66">
        <f>I50-H51</f>
        <v/>
      </c>
      <c r="J51" s="72">
        <f>ROUND($B$3/$H$3,2)</f>
        <v/>
      </c>
      <c r="K51" s="72">
        <f>K50-J51</f>
        <v/>
      </c>
      <c r="L51" s="73">
        <f>$H$4-G51</f>
        <v/>
      </c>
      <c r="M51" s="73">
        <f>ROUND($H$5-SUM($D$10:D51),2)</f>
        <v/>
      </c>
      <c r="O51" s="74">
        <f>B51-B50</f>
        <v/>
      </c>
    </row>
    <row r="52" ht="15" customHeight="1" s="54">
      <c r="A52" s="56" t="n">
        <v>43</v>
      </c>
      <c r="B52" s="65">
        <f>EOMONTH($E$5,43)</f>
        <v/>
      </c>
      <c r="C52" s="66">
        <f>IF(43=$B$5,I51+F52,$E$4)</f>
        <v/>
      </c>
      <c r="D52" s="67">
        <f>ROUND(C52*$E$3/100,2)</f>
        <v/>
      </c>
      <c r="E52" s="68">
        <f>C52+D52</f>
        <v/>
      </c>
      <c r="F52" s="69">
        <f>ROUND(I51*$B$4/100*O52/365,2)</f>
        <v/>
      </c>
      <c r="G52" s="70">
        <f>IF(43=1,F52,G51+F52)</f>
        <v/>
      </c>
      <c r="H52" s="71">
        <f>C52-F52</f>
        <v/>
      </c>
      <c r="I52" s="66">
        <f>I51-H52</f>
        <v/>
      </c>
      <c r="J52" s="72">
        <f>ROUND($B$3/$H$3,2)</f>
        <v/>
      </c>
      <c r="K52" s="72">
        <f>K51-J52</f>
        <v/>
      </c>
      <c r="L52" s="73">
        <f>$H$4-G52</f>
        <v/>
      </c>
      <c r="M52" s="73">
        <f>ROUND($H$5-SUM($D$10:D52),2)</f>
        <v/>
      </c>
      <c r="O52" s="74">
        <f>B52-B51</f>
        <v/>
      </c>
    </row>
    <row r="53" ht="15" customHeight="1" s="54">
      <c r="A53" s="56" t="n">
        <v>44</v>
      </c>
      <c r="B53" s="65">
        <f>EOMONTH($E$5,44)</f>
        <v/>
      </c>
      <c r="C53" s="66">
        <f>IF(44=$B$5,I52+F53,$E$4)</f>
        <v/>
      </c>
      <c r="D53" s="67">
        <f>ROUND(C53*$E$3/100,2)</f>
        <v/>
      </c>
      <c r="E53" s="68">
        <f>C53+D53</f>
        <v/>
      </c>
      <c r="F53" s="69">
        <f>ROUND(I52*$B$4/100*O53/365,2)</f>
        <v/>
      </c>
      <c r="G53" s="70">
        <f>IF(44=1,F53,G52+F53)</f>
        <v/>
      </c>
      <c r="H53" s="71">
        <f>C53-F53</f>
        <v/>
      </c>
      <c r="I53" s="66">
        <f>I52-H53</f>
        <v/>
      </c>
      <c r="J53" s="72">
        <f>ROUND($B$3/$H$3,2)</f>
        <v/>
      </c>
      <c r="K53" s="72">
        <f>K52-J53</f>
        <v/>
      </c>
      <c r="L53" s="73">
        <f>$H$4-G53</f>
        <v/>
      </c>
      <c r="M53" s="73">
        <f>ROUND($H$5-SUM($D$10:D53),2)</f>
        <v/>
      </c>
      <c r="O53" s="74">
        <f>B53-B52</f>
        <v/>
      </c>
    </row>
    <row r="54" ht="15" customHeight="1" s="54">
      <c r="A54" s="56" t="n">
        <v>45</v>
      </c>
      <c r="B54" s="65">
        <f>EOMONTH($E$5,45)</f>
        <v/>
      </c>
      <c r="C54" s="66">
        <f>IF(45=$B$5,I53+F54,$E$4)</f>
        <v/>
      </c>
      <c r="D54" s="67">
        <f>ROUND(C54*$E$3/100,2)</f>
        <v/>
      </c>
      <c r="E54" s="68">
        <f>C54+D54</f>
        <v/>
      </c>
      <c r="F54" s="69">
        <f>ROUND(I53*$B$4/100*O54/365,2)</f>
        <v/>
      </c>
      <c r="G54" s="70">
        <f>IF(45=1,F54,G53+F54)</f>
        <v/>
      </c>
      <c r="H54" s="71">
        <f>C54-F54</f>
        <v/>
      </c>
      <c r="I54" s="66">
        <f>I53-H54</f>
        <v/>
      </c>
      <c r="J54" s="72">
        <f>ROUND($B$3/$H$3,2)</f>
        <v/>
      </c>
      <c r="K54" s="72">
        <f>K53-J54</f>
        <v/>
      </c>
      <c r="L54" s="73">
        <f>$H$4-G54</f>
        <v/>
      </c>
      <c r="M54" s="73">
        <f>ROUND($H$5-SUM($D$10:D54),2)</f>
        <v/>
      </c>
      <c r="O54" s="74">
        <f>B54-B53</f>
        <v/>
      </c>
    </row>
    <row r="55" ht="15" customHeight="1" s="54">
      <c r="A55" s="56" t="n">
        <v>46</v>
      </c>
      <c r="B55" s="65">
        <f>EOMONTH($E$5,46)</f>
        <v/>
      </c>
      <c r="C55" s="66">
        <f>IF(46=$B$5,I54+F55,$E$4)</f>
        <v/>
      </c>
      <c r="D55" s="67">
        <f>ROUND(C55*$E$3/100,2)</f>
        <v/>
      </c>
      <c r="E55" s="68">
        <f>C55+D55</f>
        <v/>
      </c>
      <c r="F55" s="69">
        <f>ROUND(I54*$B$4/100*O55/365,2)</f>
        <v/>
      </c>
      <c r="G55" s="70">
        <f>IF(46=1,F55,G54+F55)</f>
        <v/>
      </c>
      <c r="H55" s="71">
        <f>C55-F55</f>
        <v/>
      </c>
      <c r="I55" s="66">
        <f>I54-H55</f>
        <v/>
      </c>
      <c r="J55" s="72">
        <f>ROUND($B$3/$H$3,2)</f>
        <v/>
      </c>
      <c r="K55" s="72">
        <f>K54-J55</f>
        <v/>
      </c>
      <c r="L55" s="73">
        <f>$H$4-G55</f>
        <v/>
      </c>
      <c r="M55" s="73">
        <f>ROUND($H$5-SUM($D$10:D55),2)</f>
        <v/>
      </c>
      <c r="O55" s="74">
        <f>B55-B54</f>
        <v/>
      </c>
    </row>
    <row r="56" ht="15" customHeight="1" s="54">
      <c r="A56" s="56" t="n">
        <v>47</v>
      </c>
      <c r="B56" s="65">
        <f>EOMONTH($E$5,47)</f>
        <v/>
      </c>
      <c r="C56" s="66">
        <f>IF(47=$B$5,I55+F56,$E$4)</f>
        <v/>
      </c>
      <c r="D56" s="67">
        <f>ROUND(C56*$E$3/100,2)</f>
        <v/>
      </c>
      <c r="E56" s="68">
        <f>C56+D56</f>
        <v/>
      </c>
      <c r="F56" s="69">
        <f>ROUND(I55*$B$4/100*O56/365,2)</f>
        <v/>
      </c>
      <c r="G56" s="70">
        <f>IF(47=1,F56,G55+F56)</f>
        <v/>
      </c>
      <c r="H56" s="71">
        <f>C56-F56</f>
        <v/>
      </c>
      <c r="I56" s="66">
        <f>I55-H56</f>
        <v/>
      </c>
      <c r="J56" s="72">
        <f>ROUND($B$3/$H$3,2)</f>
        <v/>
      </c>
      <c r="K56" s="72">
        <f>K55-J56</f>
        <v/>
      </c>
      <c r="L56" s="73">
        <f>$H$4-G56</f>
        <v/>
      </c>
      <c r="M56" s="73">
        <f>ROUND($H$5-SUM($D$10:D56),2)</f>
        <v/>
      </c>
      <c r="O56" s="74">
        <f>B56-B55</f>
        <v/>
      </c>
    </row>
    <row r="57" ht="15" customHeight="1" s="54">
      <c r="A57" s="56" t="n">
        <v>48</v>
      </c>
      <c r="B57" s="65">
        <f>EOMONTH($E$5,48)</f>
        <v/>
      </c>
      <c r="C57" s="66">
        <f>IF(48=$B$5,I56+F57,$E$4)</f>
        <v/>
      </c>
      <c r="D57" s="67">
        <f>ROUND(C57*$E$3/100,2)</f>
        <v/>
      </c>
      <c r="E57" s="68">
        <f>C57+D57</f>
        <v/>
      </c>
      <c r="F57" s="69">
        <f>ROUND(I56*$B$4/100*O57/365,2)</f>
        <v/>
      </c>
      <c r="G57" s="70">
        <f>IF(48=1,F57,G56+F57)</f>
        <v/>
      </c>
      <c r="H57" s="71">
        <f>C57-F57</f>
        <v/>
      </c>
      <c r="I57" s="66">
        <f>I56-H57</f>
        <v/>
      </c>
      <c r="J57" s="72">
        <f>ROUND($B$3/$H$3,2)</f>
        <v/>
      </c>
      <c r="K57" s="72">
        <f>K56-J57</f>
        <v/>
      </c>
      <c r="L57" s="73">
        <f>$H$4-G57</f>
        <v/>
      </c>
      <c r="M57" s="73">
        <f>ROUND($H$5-SUM($D$10:D57),2)</f>
        <v/>
      </c>
      <c r="O57" s="74">
        <f>B57-B56</f>
        <v/>
      </c>
    </row>
  </sheetData>
  <mergeCells count="1">
    <mergeCell ref="A1:M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D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53" min="1" max="1"/>
    <col width="16" customWidth="1" style="53" min="3" max="3"/>
    <col width="64" customWidth="1" style="53" min="4" max="4"/>
  </cols>
  <sheetData>
    <row r="1" ht="15.75" customHeight="1" s="54">
      <c r="A1" s="55" t="inlineStr">
        <is>
          <t>HP-DEMO-001 — Maturity Profile (GL Classification / TFRS16)</t>
        </is>
      </c>
    </row>
    <row r="3" ht="15" customHeight="1" s="54">
      <c r="A3" s="75" t="inlineStr">
        <is>
          <t>GL Classification — Aging (Current vs Non-current)</t>
        </is>
      </c>
      <c r="D3" s="76" t="inlineStr">
        <is>
          <t>ที่มา / วิธีคิด (อ้างอิงแท็บ HP Amortization)</t>
        </is>
      </c>
    </row>
    <row r="4" ht="21.75" customHeight="1" s="54">
      <c r="A4" s="56" t="inlineStr">
        <is>
          <t>Current Portion (≤ 12 เดือน)</t>
        </is>
      </c>
      <c r="C4" s="66">
        <f>SUM('HP Amortization'!H10:H21)</f>
        <v/>
      </c>
      <c r="D4" s="77" t="inlineStr">
        <is>
          <t>รวม "เงินต้นตัดต่องวด" (คอลัมน์ AMORTISATION สีเขียว) งวดที่ 1–12</t>
        </is>
      </c>
    </row>
    <row r="5" ht="15" customHeight="1" s="54">
      <c r="A5" s="56" t="inlineStr">
        <is>
          <t>Non-current (&gt; 12 เดือน)</t>
        </is>
      </c>
      <c r="C5" s="66">
        <f>SUM('HP Amortization'!H22:H57)</f>
        <v/>
      </c>
      <c r="D5" s="77" t="inlineStr">
        <is>
          <t>รวม AMORTISATION (สีเขียว) งวดที่ 13–48  (หรือ Total ลบ Current)</t>
        </is>
      </c>
    </row>
    <row r="6" ht="15" customHeight="1" s="54">
      <c r="A6" s="61" t="inlineStr">
        <is>
          <t>Total Principal</t>
        </is>
      </c>
      <c r="C6" s="62">
        <f>'HP Amortization'!$B$3</f>
        <v/>
      </c>
      <c r="D6" s="77" t="inlineStr">
        <is>
          <t>เงินต้นตั้งต้น — ช่อง PRINCIPAL</t>
        </is>
      </c>
    </row>
    <row r="8" ht="15" customHeight="1" s="54">
      <c r="A8" s="75" t="inlineStr">
        <is>
          <t>ภาระผูกพันในอนาคต (เงินต้น + ดอกเบี้ย ยังไม่คิดลด)</t>
        </is>
      </c>
      <c r="D8" s="76" t="inlineStr">
        <is>
          <t>ที่มา / วิธีคิด</t>
        </is>
      </c>
    </row>
    <row r="9" ht="15" customHeight="1" s="54">
      <c r="A9" s="56" t="inlineStr">
        <is>
          <t>ภายใน 1 ปี</t>
        </is>
      </c>
      <c r="C9" s="66">
        <f>SUMPRODUCT(('HP Amortization'!A10:A57&lt;=12)*('HP Amortization'!H10:H57+'HP Amortization'!F10:F57))</f>
        <v/>
      </c>
      <c r="D9" s="77" t="inlineStr">
        <is>
          <t>รวม AMORTISATION (สีเขียว) + INTEREST (สีส้ม) งวดที่ 1–12</t>
        </is>
      </c>
    </row>
    <row r="10" ht="15" customHeight="1" s="54">
      <c r="A10" s="56" t="inlineStr">
        <is>
          <t>1 - 5 ปี</t>
        </is>
      </c>
      <c r="C10" s="66">
        <f>SUMPRODUCT(('HP Amortization'!A10:A57&gt;12)*('HP Amortization'!A10:A57&lt;=60)*('HP Amortization'!H10:H57+'HP Amortization'!F10:F57))</f>
        <v/>
      </c>
      <c r="D10" s="77" t="inlineStr">
        <is>
          <t>รวม AMORTISATION + INTEREST งวดที่ 13–48</t>
        </is>
      </c>
    </row>
    <row r="11" ht="15" customHeight="1" s="54">
      <c r="A11" s="56" t="inlineStr">
        <is>
          <t>มากกว่า 5 ปี</t>
        </is>
      </c>
      <c r="C11" s="66">
        <f>SUMPRODUCT(('HP Amortization'!A10:A57&gt;60)*('HP Amortization'!H10:H57+'HP Amortization'!F10:F57))</f>
        <v/>
      </c>
      <c r="D11" s="77" t="inlineStr">
        <is>
          <t>งวดเกิน 60 เดือน — มี 48 งวด จึง = 0</t>
        </is>
      </c>
    </row>
    <row r="12" ht="21.75" customHeight="1" s="54">
      <c r="A12" s="61" t="inlineStr">
        <is>
          <t>Total Future Cash Flow</t>
        </is>
      </c>
      <c r="C12" s="62">
        <f>'HP Amortization'!$B$3+'HP Amortization'!$H$4</f>
        <v/>
      </c>
      <c r="D12" s="77" t="inlineStr">
        <is>
          <t>ช่อง PRINCIPAL + ดอกเบี้ยรวมทั้งสัญญา (INTEREST สีส้มรวมทุกงวด)</t>
        </is>
      </c>
    </row>
    <row r="14" ht="15" customHeight="1" s="54">
      <c r="A14" s="75" t="inlineStr">
        <is>
          <t>Lease Classification: Finance (gross · HP)</t>
        </is>
      </c>
    </row>
  </sheetData>
  <mergeCells count="1">
    <mergeCell ref="A1:C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J4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" customWidth="1" style="53" min="1" max="1"/>
    <col width="12" customWidth="1" style="53" min="2" max="2"/>
    <col width="13" customWidth="1" style="53" min="3" max="3"/>
    <col width="12" customWidth="1" style="53" min="4" max="4"/>
    <col width="16" customWidth="1" style="53" min="5" max="6"/>
    <col width="13" customWidth="1" style="53" min="7" max="8"/>
    <col width="5" customWidth="1" style="53" min="10" max="10"/>
  </cols>
  <sheetData>
    <row r="1" ht="15" customHeight="1" s="54">
      <c r="A1" s="55" t="inlineStr">
        <is>
          <t>LEASE-DEMO-001 — Leasing (เช่ารถระยะยาว · net/ROU)</t>
        </is>
      </c>
    </row>
    <row r="3" ht="15" customHeight="1" s="54">
      <c r="A3" s="56" t="inlineStr">
        <is>
          <t>PRINCIPAL / ROU (NPV)</t>
        </is>
      </c>
      <c r="B3" s="57" t="n">
        <v>800000</v>
      </c>
      <c r="D3" s="56" t="inlineStr">
        <is>
          <t>ROU LIFE (เดือน)</t>
        </is>
      </c>
      <c r="E3" s="58" t="n">
        <v>36</v>
      </c>
    </row>
    <row r="4" ht="15" customHeight="1" s="54">
      <c r="A4" s="56" t="inlineStr">
        <is>
          <t>RATE / YEAR (%)</t>
        </is>
      </c>
      <c r="B4" s="59" t="n">
        <v>4</v>
      </c>
      <c r="D4" s="56" t="inlineStr">
        <is>
          <t>PAYMENT START DATE</t>
        </is>
      </c>
      <c r="E4" s="63" t="n">
        <v>46295</v>
      </c>
      <c r="G4" s="61" t="inlineStr">
        <is>
          <t>INSTALLMENT = PMT (แก้เป็นค่าระบบได้)</t>
        </is>
      </c>
      <c r="H4" s="62">
        <f>ROUND(-PMT($B$4/100/12,$B$5,$B$3),2)</f>
        <v/>
      </c>
    </row>
    <row r="5" ht="15" customHeight="1" s="54">
      <c r="A5" s="56" t="inlineStr">
        <is>
          <t>TERM (MONTHS)</t>
        </is>
      </c>
      <c r="B5" s="58" t="n">
        <v>36</v>
      </c>
      <c r="D5" s="56" t="inlineStr">
        <is>
          <t>UPFRONT (จ่ายล่วงหน้า)</t>
        </is>
      </c>
      <c r="E5" s="60" t="n">
        <v>0</v>
      </c>
      <c r="G5" s="61" t="inlineStr">
        <is>
          <t>ดอกเบี้ยรวมทั้งสัญญา</t>
        </is>
      </c>
      <c r="H5" s="62">
        <f>SUM(D10:D45)</f>
        <v/>
      </c>
    </row>
    <row r="9" ht="23.25" customHeight="1" s="54">
      <c r="A9" s="64" t="inlineStr">
        <is>
          <t>#</t>
        </is>
      </c>
      <c r="B9" s="64" t="inlineStr">
        <is>
          <t>PAYMENT DATE</t>
        </is>
      </c>
      <c r="C9" s="64" t="inlineStr">
        <is>
          <t>INSTALLMENT</t>
        </is>
      </c>
      <c r="D9" s="64" t="inlineStr">
        <is>
          <t>INTEREST</t>
        </is>
      </c>
      <c r="E9" s="64" t="inlineStr">
        <is>
          <t>PRINCIPAL (ตัดต้น)</t>
        </is>
      </c>
      <c r="F9" s="64" t="inlineStr">
        <is>
          <t>LIABILITY BALANCE</t>
        </is>
      </c>
      <c r="G9" s="64" t="inlineStr">
        <is>
          <t>DEPRECIATION</t>
        </is>
      </c>
      <c r="H9" s="64" t="inlineStr">
        <is>
          <t>ROU BALANCE</t>
        </is>
      </c>
    </row>
    <row r="10" ht="15" customHeight="1" s="54">
      <c r="A10" s="56" t="n">
        <v>1</v>
      </c>
      <c r="B10" s="65">
        <f>EOMONTH($E$5,1)</f>
        <v/>
      </c>
      <c r="C10" s="66">
        <f>IF(1=$B$5,F9+D10,$H$4)</f>
        <v/>
      </c>
      <c r="D10" s="69">
        <f>ROUND($B$3*$B$4/100*J10/365,2)</f>
        <v/>
      </c>
      <c r="E10" s="71">
        <f>C10-D10</f>
        <v/>
      </c>
      <c r="F10" s="66">
        <f>$B$3-E10</f>
        <v/>
      </c>
      <c r="G10" s="72">
        <f>ROUND(($B$3+$E$5)/$E$3,2)</f>
        <v/>
      </c>
      <c r="H10" s="72">
        <f>($B$3+$E$5)-G10</f>
        <v/>
      </c>
      <c r="J10" s="78">
        <f>B10-$E$5</f>
        <v/>
      </c>
    </row>
    <row r="11" ht="15" customHeight="1" s="54">
      <c r="A11" s="56" t="n">
        <v>2</v>
      </c>
      <c r="B11" s="65">
        <f>EOMONTH($E$5,2)</f>
        <v/>
      </c>
      <c r="C11" s="66">
        <f>IF(2=$B$5,F10+D11,$H$4)</f>
        <v/>
      </c>
      <c r="D11" s="69">
        <f>ROUND(F10*$B$4/100*J11/365,2)</f>
        <v/>
      </c>
      <c r="E11" s="71">
        <f>C11-D11</f>
        <v/>
      </c>
      <c r="F11" s="66">
        <f>F10-E11</f>
        <v/>
      </c>
      <c r="G11" s="72">
        <f>ROUND(($B$3+$E$5)/$E$3,2)</f>
        <v/>
      </c>
      <c r="H11" s="72">
        <f>H10-G11</f>
        <v/>
      </c>
      <c r="J11" s="74">
        <f>B11-B10</f>
        <v/>
      </c>
    </row>
    <row r="12" ht="15" customHeight="1" s="54">
      <c r="A12" s="56" t="n">
        <v>3</v>
      </c>
      <c r="B12" s="65">
        <f>EOMONTH($E$5,3)</f>
        <v/>
      </c>
      <c r="C12" s="66">
        <f>IF(3=$B$5,F11+D12,$H$4)</f>
        <v/>
      </c>
      <c r="D12" s="69">
        <f>ROUND(F11*$B$4/100*J12/365,2)</f>
        <v/>
      </c>
      <c r="E12" s="71">
        <f>C12-D12</f>
        <v/>
      </c>
      <c r="F12" s="66">
        <f>F11-E12</f>
        <v/>
      </c>
      <c r="G12" s="72">
        <f>ROUND(($B$3+$E$5)/$E$3,2)</f>
        <v/>
      </c>
      <c r="H12" s="72">
        <f>H11-G12</f>
        <v/>
      </c>
      <c r="J12" s="74">
        <f>B12-B11</f>
        <v/>
      </c>
    </row>
    <row r="13" ht="15" customHeight="1" s="54">
      <c r="A13" s="56" t="n">
        <v>4</v>
      </c>
      <c r="B13" s="65">
        <f>EOMONTH($E$5,4)</f>
        <v/>
      </c>
      <c r="C13" s="66">
        <f>IF(4=$B$5,F12+D13,$H$4)</f>
        <v/>
      </c>
      <c r="D13" s="69">
        <f>ROUND(F12*$B$4/100*J13/365,2)</f>
        <v/>
      </c>
      <c r="E13" s="71">
        <f>C13-D13</f>
        <v/>
      </c>
      <c r="F13" s="66">
        <f>F12-E13</f>
        <v/>
      </c>
      <c r="G13" s="72">
        <f>ROUND(($B$3+$E$5)/$E$3,2)</f>
        <v/>
      </c>
      <c r="H13" s="72">
        <f>H12-G13</f>
        <v/>
      </c>
      <c r="J13" s="74">
        <f>B13-B12</f>
        <v/>
      </c>
    </row>
    <row r="14" ht="15" customHeight="1" s="54">
      <c r="A14" s="56" t="n">
        <v>5</v>
      </c>
      <c r="B14" s="65">
        <f>EOMONTH($E$5,5)</f>
        <v/>
      </c>
      <c r="C14" s="66">
        <f>IF(5=$B$5,F13+D14,$H$4)</f>
        <v/>
      </c>
      <c r="D14" s="69">
        <f>ROUND(F13*$B$4/100*J14/365,2)</f>
        <v/>
      </c>
      <c r="E14" s="71">
        <f>C14-D14</f>
        <v/>
      </c>
      <c r="F14" s="66">
        <f>F13-E14</f>
        <v/>
      </c>
      <c r="G14" s="72">
        <f>ROUND(($B$3+$E$5)/$E$3,2)</f>
        <v/>
      </c>
      <c r="H14" s="72">
        <f>H13-G14</f>
        <v/>
      </c>
      <c r="J14" s="74">
        <f>B14-B13</f>
        <v/>
      </c>
    </row>
    <row r="15" ht="15" customHeight="1" s="54">
      <c r="A15" s="56" t="n">
        <v>6</v>
      </c>
      <c r="B15" s="65">
        <f>EOMONTH($E$5,6)</f>
        <v/>
      </c>
      <c r="C15" s="66">
        <f>IF(6=$B$5,F14+D15,$H$4)</f>
        <v/>
      </c>
      <c r="D15" s="69">
        <f>ROUND(F14*$B$4/100*J15/365,2)</f>
        <v/>
      </c>
      <c r="E15" s="71">
        <f>C15-D15</f>
        <v/>
      </c>
      <c r="F15" s="66">
        <f>F14-E15</f>
        <v/>
      </c>
      <c r="G15" s="72">
        <f>ROUND(($B$3+$E$5)/$E$3,2)</f>
        <v/>
      </c>
      <c r="H15" s="72">
        <f>H14-G15</f>
        <v/>
      </c>
      <c r="J15" s="74">
        <f>B15-B14</f>
        <v/>
      </c>
    </row>
    <row r="16" ht="15" customHeight="1" s="54">
      <c r="A16" s="56" t="n">
        <v>7</v>
      </c>
      <c r="B16" s="65">
        <f>EOMONTH($E$5,7)</f>
        <v/>
      </c>
      <c r="C16" s="66">
        <f>IF(7=$B$5,F15+D16,$H$4)</f>
        <v/>
      </c>
      <c r="D16" s="69">
        <f>ROUND(F15*$B$4/100*J16/365,2)</f>
        <v/>
      </c>
      <c r="E16" s="71">
        <f>C16-D16</f>
        <v/>
      </c>
      <c r="F16" s="66">
        <f>F15-E16</f>
        <v/>
      </c>
      <c r="G16" s="72">
        <f>ROUND(($B$3+$E$5)/$E$3,2)</f>
        <v/>
      </c>
      <c r="H16" s="72">
        <f>H15-G16</f>
        <v/>
      </c>
      <c r="J16" s="74">
        <f>B16-B15</f>
        <v/>
      </c>
    </row>
    <row r="17" ht="15" customHeight="1" s="54">
      <c r="A17" s="56" t="n">
        <v>8</v>
      </c>
      <c r="B17" s="65">
        <f>EOMONTH($E$5,8)</f>
        <v/>
      </c>
      <c r="C17" s="66">
        <f>IF(8=$B$5,F16+D17,$H$4)</f>
        <v/>
      </c>
      <c r="D17" s="69">
        <f>ROUND(F16*$B$4/100*J17/365,2)</f>
        <v/>
      </c>
      <c r="E17" s="71">
        <f>C17-D17</f>
        <v/>
      </c>
      <c r="F17" s="66">
        <f>F16-E17</f>
        <v/>
      </c>
      <c r="G17" s="72">
        <f>ROUND(($B$3+$E$5)/$E$3,2)</f>
        <v/>
      </c>
      <c r="H17" s="72">
        <f>H16-G17</f>
        <v/>
      </c>
      <c r="J17" s="74">
        <f>B17-B16</f>
        <v/>
      </c>
    </row>
    <row r="18" ht="15" customHeight="1" s="54">
      <c r="A18" s="56" t="n">
        <v>9</v>
      </c>
      <c r="B18" s="65">
        <f>EOMONTH($E$5,9)</f>
        <v/>
      </c>
      <c r="C18" s="66">
        <f>IF(9=$B$5,F17+D18,$H$4)</f>
        <v/>
      </c>
      <c r="D18" s="69">
        <f>ROUND(F17*$B$4/100*J18/365,2)</f>
        <v/>
      </c>
      <c r="E18" s="71">
        <f>C18-D18</f>
        <v/>
      </c>
      <c r="F18" s="66">
        <f>F17-E18</f>
        <v/>
      </c>
      <c r="G18" s="72">
        <f>ROUND(($B$3+$E$5)/$E$3,2)</f>
        <v/>
      </c>
      <c r="H18" s="72">
        <f>H17-G18</f>
        <v/>
      </c>
      <c r="J18" s="74">
        <f>B18-B17</f>
        <v/>
      </c>
    </row>
    <row r="19" ht="15" customHeight="1" s="54">
      <c r="A19" s="56" t="n">
        <v>10</v>
      </c>
      <c r="B19" s="65">
        <f>EOMONTH($E$5,10)</f>
        <v/>
      </c>
      <c r="C19" s="66">
        <f>IF(10=$B$5,F18+D19,$H$4)</f>
        <v/>
      </c>
      <c r="D19" s="69">
        <f>ROUND(F18*$B$4/100*J19/365,2)</f>
        <v/>
      </c>
      <c r="E19" s="71">
        <f>C19-D19</f>
        <v/>
      </c>
      <c r="F19" s="66">
        <f>F18-E19</f>
        <v/>
      </c>
      <c r="G19" s="72">
        <f>ROUND(($B$3+$E$5)/$E$3,2)</f>
        <v/>
      </c>
      <c r="H19" s="72">
        <f>H18-G19</f>
        <v/>
      </c>
      <c r="J19" s="74">
        <f>B19-B18</f>
        <v/>
      </c>
    </row>
    <row r="20" ht="15" customHeight="1" s="54">
      <c r="A20" s="56" t="n">
        <v>11</v>
      </c>
      <c r="B20" s="65">
        <f>EOMONTH($E$5,11)</f>
        <v/>
      </c>
      <c r="C20" s="66">
        <f>IF(11=$B$5,F19+D20,$H$4)</f>
        <v/>
      </c>
      <c r="D20" s="69">
        <f>ROUND(F19*$B$4/100*J20/365,2)</f>
        <v/>
      </c>
      <c r="E20" s="71">
        <f>C20-D20</f>
        <v/>
      </c>
      <c r="F20" s="66">
        <f>F19-E20</f>
        <v/>
      </c>
      <c r="G20" s="72">
        <f>ROUND(($B$3+$E$5)/$E$3,2)</f>
        <v/>
      </c>
      <c r="H20" s="72">
        <f>H19-G20</f>
        <v/>
      </c>
      <c r="J20" s="74">
        <f>B20-B19</f>
        <v/>
      </c>
    </row>
    <row r="21" ht="15" customHeight="1" s="54">
      <c r="A21" s="56" t="n">
        <v>12</v>
      </c>
      <c r="B21" s="65">
        <f>EOMONTH($E$5,12)</f>
        <v/>
      </c>
      <c r="C21" s="66">
        <f>IF(12=$B$5,F20+D21,$H$4)</f>
        <v/>
      </c>
      <c r="D21" s="69">
        <f>ROUND(F20*$B$4/100*J21/365,2)</f>
        <v/>
      </c>
      <c r="E21" s="71">
        <f>C21-D21</f>
        <v/>
      </c>
      <c r="F21" s="66">
        <f>F20-E21</f>
        <v/>
      </c>
      <c r="G21" s="72">
        <f>ROUND(($B$3+$E$5)/$E$3,2)</f>
        <v/>
      </c>
      <c r="H21" s="72">
        <f>H20-G21</f>
        <v/>
      </c>
      <c r="J21" s="74">
        <f>B21-B20</f>
        <v/>
      </c>
    </row>
    <row r="22" ht="15" customHeight="1" s="54">
      <c r="A22" s="56" t="n">
        <v>13</v>
      </c>
      <c r="B22" s="65">
        <f>EOMONTH($E$5,13)</f>
        <v/>
      </c>
      <c r="C22" s="66">
        <f>IF(13=$B$5,F21+D22,$H$4)</f>
        <v/>
      </c>
      <c r="D22" s="69">
        <f>ROUND(F21*$B$4/100*J22/365,2)</f>
        <v/>
      </c>
      <c r="E22" s="71">
        <f>C22-D22</f>
        <v/>
      </c>
      <c r="F22" s="66">
        <f>F21-E22</f>
        <v/>
      </c>
      <c r="G22" s="72">
        <f>ROUND(($B$3+$E$5)/$E$3,2)</f>
        <v/>
      </c>
      <c r="H22" s="72">
        <f>H21-G22</f>
        <v/>
      </c>
      <c r="J22" s="74">
        <f>B22-B21</f>
        <v/>
      </c>
    </row>
    <row r="23" ht="15" customHeight="1" s="54">
      <c r="A23" s="56" t="n">
        <v>14</v>
      </c>
      <c r="B23" s="65">
        <f>EOMONTH($E$5,14)</f>
        <v/>
      </c>
      <c r="C23" s="66">
        <f>IF(14=$B$5,F22+D23,$H$4)</f>
        <v/>
      </c>
      <c r="D23" s="69">
        <f>ROUND(F22*$B$4/100*J23/365,2)</f>
        <v/>
      </c>
      <c r="E23" s="71">
        <f>C23-D23</f>
        <v/>
      </c>
      <c r="F23" s="66">
        <f>F22-E23</f>
        <v/>
      </c>
      <c r="G23" s="72">
        <f>ROUND(($B$3+$E$5)/$E$3,2)</f>
        <v/>
      </c>
      <c r="H23" s="72">
        <f>H22-G23</f>
        <v/>
      </c>
      <c r="J23" s="74">
        <f>B23-B22</f>
        <v/>
      </c>
    </row>
    <row r="24" ht="15" customHeight="1" s="54">
      <c r="A24" s="56" t="n">
        <v>15</v>
      </c>
      <c r="B24" s="65">
        <f>EOMONTH($E$5,15)</f>
        <v/>
      </c>
      <c r="C24" s="66">
        <f>IF(15=$B$5,F23+D24,$H$4)</f>
        <v/>
      </c>
      <c r="D24" s="69">
        <f>ROUND(F23*$B$4/100*J24/365,2)</f>
        <v/>
      </c>
      <c r="E24" s="71">
        <f>C24-D24</f>
        <v/>
      </c>
      <c r="F24" s="66">
        <f>F23-E24</f>
        <v/>
      </c>
      <c r="G24" s="72">
        <f>ROUND(($B$3+$E$5)/$E$3,2)</f>
        <v/>
      </c>
      <c r="H24" s="72">
        <f>H23-G24</f>
        <v/>
      </c>
      <c r="J24" s="74">
        <f>B24-B23</f>
        <v/>
      </c>
    </row>
    <row r="25" ht="15" customHeight="1" s="54">
      <c r="A25" s="56" t="n">
        <v>16</v>
      </c>
      <c r="B25" s="65">
        <f>EOMONTH($E$5,16)</f>
        <v/>
      </c>
      <c r="C25" s="66">
        <f>IF(16=$B$5,F24+D25,$H$4)</f>
        <v/>
      </c>
      <c r="D25" s="69">
        <f>ROUND(F24*$B$4/100*J25/365,2)</f>
        <v/>
      </c>
      <c r="E25" s="71">
        <f>C25-D25</f>
        <v/>
      </c>
      <c r="F25" s="66">
        <f>F24-E25</f>
        <v/>
      </c>
      <c r="G25" s="72">
        <f>ROUND(($B$3+$E$5)/$E$3,2)</f>
        <v/>
      </c>
      <c r="H25" s="72">
        <f>H24-G25</f>
        <v/>
      </c>
      <c r="J25" s="74">
        <f>B25-B24</f>
        <v/>
      </c>
    </row>
    <row r="26" ht="15" customHeight="1" s="54">
      <c r="A26" s="56" t="n">
        <v>17</v>
      </c>
      <c r="B26" s="65">
        <f>EOMONTH($E$5,17)</f>
        <v/>
      </c>
      <c r="C26" s="66">
        <f>IF(17=$B$5,F25+D26,$H$4)</f>
        <v/>
      </c>
      <c r="D26" s="69">
        <f>ROUND(F25*$B$4/100*J26/365,2)</f>
        <v/>
      </c>
      <c r="E26" s="71">
        <f>C26-D26</f>
        <v/>
      </c>
      <c r="F26" s="66">
        <f>F25-E26</f>
        <v/>
      </c>
      <c r="G26" s="72">
        <f>ROUND(($B$3+$E$5)/$E$3,2)</f>
        <v/>
      </c>
      <c r="H26" s="72">
        <f>H25-G26</f>
        <v/>
      </c>
      <c r="J26" s="74">
        <f>B26-B25</f>
        <v/>
      </c>
    </row>
    <row r="27" ht="15" customHeight="1" s="54">
      <c r="A27" s="56" t="n">
        <v>18</v>
      </c>
      <c r="B27" s="65">
        <f>EOMONTH($E$5,18)</f>
        <v/>
      </c>
      <c r="C27" s="66">
        <f>IF(18=$B$5,F26+D27,$H$4)</f>
        <v/>
      </c>
      <c r="D27" s="69">
        <f>ROUND(F26*$B$4/100*J27/365,2)</f>
        <v/>
      </c>
      <c r="E27" s="71">
        <f>C27-D27</f>
        <v/>
      </c>
      <c r="F27" s="66">
        <f>F26-E27</f>
        <v/>
      </c>
      <c r="G27" s="72">
        <f>ROUND(($B$3+$E$5)/$E$3,2)</f>
        <v/>
      </c>
      <c r="H27" s="72">
        <f>H26-G27</f>
        <v/>
      </c>
      <c r="J27" s="74">
        <f>B27-B26</f>
        <v/>
      </c>
    </row>
    <row r="28" ht="15" customHeight="1" s="54">
      <c r="A28" s="56" t="n">
        <v>19</v>
      </c>
      <c r="B28" s="65">
        <f>EOMONTH($E$5,19)</f>
        <v/>
      </c>
      <c r="C28" s="66">
        <f>IF(19=$B$5,F27+D28,$H$4)</f>
        <v/>
      </c>
      <c r="D28" s="69">
        <f>ROUND(F27*$B$4/100*J28/365,2)</f>
        <v/>
      </c>
      <c r="E28" s="71">
        <f>C28-D28</f>
        <v/>
      </c>
      <c r="F28" s="66">
        <f>F27-E28</f>
        <v/>
      </c>
      <c r="G28" s="72">
        <f>ROUND(($B$3+$E$5)/$E$3,2)</f>
        <v/>
      </c>
      <c r="H28" s="72">
        <f>H27-G28</f>
        <v/>
      </c>
      <c r="J28" s="74">
        <f>B28-B27</f>
        <v/>
      </c>
    </row>
    <row r="29" ht="15" customHeight="1" s="54">
      <c r="A29" s="56" t="n">
        <v>20</v>
      </c>
      <c r="B29" s="65">
        <f>EOMONTH($E$5,20)</f>
        <v/>
      </c>
      <c r="C29" s="66">
        <f>IF(20=$B$5,F28+D29,$H$4)</f>
        <v/>
      </c>
      <c r="D29" s="69">
        <f>ROUND(F28*$B$4/100*J29/365,2)</f>
        <v/>
      </c>
      <c r="E29" s="71">
        <f>C29-D29</f>
        <v/>
      </c>
      <c r="F29" s="66">
        <f>F28-E29</f>
        <v/>
      </c>
      <c r="G29" s="72">
        <f>ROUND(($B$3+$E$5)/$E$3,2)</f>
        <v/>
      </c>
      <c r="H29" s="72">
        <f>H28-G29</f>
        <v/>
      </c>
      <c r="J29" s="74">
        <f>B29-B28</f>
        <v/>
      </c>
    </row>
    <row r="30" ht="15" customHeight="1" s="54">
      <c r="A30" s="56" t="n">
        <v>21</v>
      </c>
      <c r="B30" s="65">
        <f>EOMONTH($E$5,21)</f>
        <v/>
      </c>
      <c r="C30" s="66">
        <f>IF(21=$B$5,F29+D30,$H$4)</f>
        <v/>
      </c>
      <c r="D30" s="69">
        <f>ROUND(F29*$B$4/100*J30/365,2)</f>
        <v/>
      </c>
      <c r="E30" s="71">
        <f>C30-D30</f>
        <v/>
      </c>
      <c r="F30" s="66">
        <f>F29-E30</f>
        <v/>
      </c>
      <c r="G30" s="72">
        <f>ROUND(($B$3+$E$5)/$E$3,2)</f>
        <v/>
      </c>
      <c r="H30" s="72">
        <f>H29-G30</f>
        <v/>
      </c>
      <c r="J30" s="74">
        <f>B30-B29</f>
        <v/>
      </c>
    </row>
    <row r="31" ht="15" customHeight="1" s="54">
      <c r="A31" s="56" t="n">
        <v>22</v>
      </c>
      <c r="B31" s="65">
        <f>EOMONTH($E$5,22)</f>
        <v/>
      </c>
      <c r="C31" s="66">
        <f>IF(22=$B$5,F30+D31,$H$4)</f>
        <v/>
      </c>
      <c r="D31" s="69">
        <f>ROUND(F30*$B$4/100*J31/365,2)</f>
        <v/>
      </c>
      <c r="E31" s="71">
        <f>C31-D31</f>
        <v/>
      </c>
      <c r="F31" s="66">
        <f>F30-E31</f>
        <v/>
      </c>
      <c r="G31" s="72">
        <f>ROUND(($B$3+$E$5)/$E$3,2)</f>
        <v/>
      </c>
      <c r="H31" s="72">
        <f>H30-G31</f>
        <v/>
      </c>
      <c r="J31" s="74">
        <f>B31-B30</f>
        <v/>
      </c>
    </row>
    <row r="32" ht="15" customHeight="1" s="54">
      <c r="A32" s="56" t="n">
        <v>23</v>
      </c>
      <c r="B32" s="65">
        <f>EOMONTH($E$5,23)</f>
        <v/>
      </c>
      <c r="C32" s="66">
        <f>IF(23=$B$5,F31+D32,$H$4)</f>
        <v/>
      </c>
      <c r="D32" s="69">
        <f>ROUND(F31*$B$4/100*J32/365,2)</f>
        <v/>
      </c>
      <c r="E32" s="71">
        <f>C32-D32</f>
        <v/>
      </c>
      <c r="F32" s="66">
        <f>F31-E32</f>
        <v/>
      </c>
      <c r="G32" s="72">
        <f>ROUND(($B$3+$E$5)/$E$3,2)</f>
        <v/>
      </c>
      <c r="H32" s="72">
        <f>H31-G32</f>
        <v/>
      </c>
      <c r="J32" s="74">
        <f>B32-B31</f>
        <v/>
      </c>
    </row>
    <row r="33" ht="15" customHeight="1" s="54">
      <c r="A33" s="56" t="n">
        <v>24</v>
      </c>
      <c r="B33" s="65">
        <f>EOMONTH($E$5,24)</f>
        <v/>
      </c>
      <c r="C33" s="66">
        <f>IF(24=$B$5,F32+D33,$H$4)</f>
        <v/>
      </c>
      <c r="D33" s="69">
        <f>ROUND(F32*$B$4/100*J33/365,2)</f>
        <v/>
      </c>
      <c r="E33" s="71">
        <f>C33-D33</f>
        <v/>
      </c>
      <c r="F33" s="66">
        <f>F32-E33</f>
        <v/>
      </c>
      <c r="G33" s="72">
        <f>ROUND(($B$3+$E$5)/$E$3,2)</f>
        <v/>
      </c>
      <c r="H33" s="72">
        <f>H32-G33</f>
        <v/>
      </c>
      <c r="J33" s="74">
        <f>B33-B32</f>
        <v/>
      </c>
    </row>
    <row r="34" ht="15" customHeight="1" s="54">
      <c r="A34" s="56" t="n">
        <v>25</v>
      </c>
      <c r="B34" s="65">
        <f>EOMONTH($E$5,25)</f>
        <v/>
      </c>
      <c r="C34" s="66">
        <f>IF(25=$B$5,F33+D34,$H$4)</f>
        <v/>
      </c>
      <c r="D34" s="69">
        <f>ROUND(F33*$B$4/100*J34/365,2)</f>
        <v/>
      </c>
      <c r="E34" s="71">
        <f>C34-D34</f>
        <v/>
      </c>
      <c r="F34" s="66">
        <f>F33-E34</f>
        <v/>
      </c>
      <c r="G34" s="72">
        <f>ROUND(($B$3+$E$5)/$E$3,2)</f>
        <v/>
      </c>
      <c r="H34" s="72">
        <f>H33-G34</f>
        <v/>
      </c>
      <c r="J34" s="74">
        <f>B34-B33</f>
        <v/>
      </c>
    </row>
    <row r="35" ht="15" customHeight="1" s="54">
      <c r="A35" s="56" t="n">
        <v>26</v>
      </c>
      <c r="B35" s="65">
        <f>EOMONTH($E$5,26)</f>
        <v/>
      </c>
      <c r="C35" s="66">
        <f>IF(26=$B$5,F34+D35,$H$4)</f>
        <v/>
      </c>
      <c r="D35" s="69">
        <f>ROUND(F34*$B$4/100*J35/365,2)</f>
        <v/>
      </c>
      <c r="E35" s="71">
        <f>C35-D35</f>
        <v/>
      </c>
      <c r="F35" s="66">
        <f>F34-E35</f>
        <v/>
      </c>
      <c r="G35" s="72">
        <f>ROUND(($B$3+$E$5)/$E$3,2)</f>
        <v/>
      </c>
      <c r="H35" s="72">
        <f>H34-G35</f>
        <v/>
      </c>
      <c r="J35" s="74">
        <f>B35-B34</f>
        <v/>
      </c>
    </row>
    <row r="36" ht="15" customHeight="1" s="54">
      <c r="A36" s="56" t="n">
        <v>27</v>
      </c>
      <c r="B36" s="65">
        <f>EOMONTH($E$5,27)</f>
        <v/>
      </c>
      <c r="C36" s="66">
        <f>IF(27=$B$5,F35+D36,$H$4)</f>
        <v/>
      </c>
      <c r="D36" s="69">
        <f>ROUND(F35*$B$4/100*J36/365,2)</f>
        <v/>
      </c>
      <c r="E36" s="71">
        <f>C36-D36</f>
        <v/>
      </c>
      <c r="F36" s="66">
        <f>F35-E36</f>
        <v/>
      </c>
      <c r="G36" s="72">
        <f>ROUND(($B$3+$E$5)/$E$3,2)</f>
        <v/>
      </c>
      <c r="H36" s="72">
        <f>H35-G36</f>
        <v/>
      </c>
      <c r="J36" s="74">
        <f>B36-B35</f>
        <v/>
      </c>
    </row>
    <row r="37" ht="15" customHeight="1" s="54">
      <c r="A37" s="56" t="n">
        <v>28</v>
      </c>
      <c r="B37" s="65">
        <f>EOMONTH($E$5,28)</f>
        <v/>
      </c>
      <c r="C37" s="66">
        <f>IF(28=$B$5,F36+D37,$H$4)</f>
        <v/>
      </c>
      <c r="D37" s="69">
        <f>ROUND(F36*$B$4/100*J37/365,2)</f>
        <v/>
      </c>
      <c r="E37" s="71">
        <f>C37-D37</f>
        <v/>
      </c>
      <c r="F37" s="66">
        <f>F36-E37</f>
        <v/>
      </c>
      <c r="G37" s="72">
        <f>ROUND(($B$3+$E$5)/$E$3,2)</f>
        <v/>
      </c>
      <c r="H37" s="72">
        <f>H36-G37</f>
        <v/>
      </c>
      <c r="J37" s="74">
        <f>B37-B36</f>
        <v/>
      </c>
    </row>
    <row r="38" ht="15" customHeight="1" s="54">
      <c r="A38" s="56" t="n">
        <v>29</v>
      </c>
      <c r="B38" s="65">
        <f>EOMONTH($E$5,29)</f>
        <v/>
      </c>
      <c r="C38" s="66">
        <f>IF(29=$B$5,F37+D38,$H$4)</f>
        <v/>
      </c>
      <c r="D38" s="69">
        <f>ROUND(F37*$B$4/100*J38/365,2)</f>
        <v/>
      </c>
      <c r="E38" s="71">
        <f>C38-D38</f>
        <v/>
      </c>
      <c r="F38" s="66">
        <f>F37-E38</f>
        <v/>
      </c>
      <c r="G38" s="72">
        <f>ROUND(($B$3+$E$5)/$E$3,2)</f>
        <v/>
      </c>
      <c r="H38" s="72">
        <f>H37-G38</f>
        <v/>
      </c>
      <c r="J38" s="74">
        <f>B38-B37</f>
        <v/>
      </c>
    </row>
    <row r="39" ht="15" customHeight="1" s="54">
      <c r="A39" s="56" t="n">
        <v>30</v>
      </c>
      <c r="B39" s="65">
        <f>EOMONTH($E$5,30)</f>
        <v/>
      </c>
      <c r="C39" s="66">
        <f>IF(30=$B$5,F38+D39,$H$4)</f>
        <v/>
      </c>
      <c r="D39" s="69">
        <f>ROUND(F38*$B$4/100*J39/365,2)</f>
        <v/>
      </c>
      <c r="E39" s="71">
        <f>C39-D39</f>
        <v/>
      </c>
      <c r="F39" s="66">
        <f>F38-E39</f>
        <v/>
      </c>
      <c r="G39" s="72">
        <f>ROUND(($B$3+$E$5)/$E$3,2)</f>
        <v/>
      </c>
      <c r="H39" s="72">
        <f>H38-G39</f>
        <v/>
      </c>
      <c r="J39" s="74">
        <f>B39-B38</f>
        <v/>
      </c>
    </row>
    <row r="40" ht="15" customHeight="1" s="54">
      <c r="A40" s="56" t="n">
        <v>31</v>
      </c>
      <c r="B40" s="65">
        <f>EOMONTH($E$5,31)</f>
        <v/>
      </c>
      <c r="C40" s="66">
        <f>IF(31=$B$5,F39+D40,$H$4)</f>
        <v/>
      </c>
      <c r="D40" s="69">
        <f>ROUND(F39*$B$4/100*J40/365,2)</f>
        <v/>
      </c>
      <c r="E40" s="71">
        <f>C40-D40</f>
        <v/>
      </c>
      <c r="F40" s="66">
        <f>F39-E40</f>
        <v/>
      </c>
      <c r="G40" s="72">
        <f>ROUND(($B$3+$E$5)/$E$3,2)</f>
        <v/>
      </c>
      <c r="H40" s="72">
        <f>H39-G40</f>
        <v/>
      </c>
      <c r="J40" s="74">
        <f>B40-B39</f>
        <v/>
      </c>
    </row>
    <row r="41" ht="15" customHeight="1" s="54">
      <c r="A41" s="56" t="n">
        <v>32</v>
      </c>
      <c r="B41" s="65">
        <f>EOMONTH($E$5,32)</f>
        <v/>
      </c>
      <c r="C41" s="66">
        <f>IF(32=$B$5,F40+D41,$H$4)</f>
        <v/>
      </c>
      <c r="D41" s="69">
        <f>ROUND(F40*$B$4/100*J41/365,2)</f>
        <v/>
      </c>
      <c r="E41" s="71">
        <f>C41-D41</f>
        <v/>
      </c>
      <c r="F41" s="66">
        <f>F40-E41</f>
        <v/>
      </c>
      <c r="G41" s="72">
        <f>ROUND(($B$3+$E$5)/$E$3,2)</f>
        <v/>
      </c>
      <c r="H41" s="72">
        <f>H40-G41</f>
        <v/>
      </c>
      <c r="J41" s="74">
        <f>B41-B40</f>
        <v/>
      </c>
    </row>
    <row r="42" ht="15" customHeight="1" s="54">
      <c r="A42" s="56" t="n">
        <v>33</v>
      </c>
      <c r="B42" s="65">
        <f>EOMONTH($E$5,33)</f>
        <v/>
      </c>
      <c r="C42" s="66">
        <f>IF(33=$B$5,F41+D42,$H$4)</f>
        <v/>
      </c>
      <c r="D42" s="69">
        <f>ROUND(F41*$B$4/100*J42/365,2)</f>
        <v/>
      </c>
      <c r="E42" s="71">
        <f>C42-D42</f>
        <v/>
      </c>
      <c r="F42" s="66">
        <f>F41-E42</f>
        <v/>
      </c>
      <c r="G42" s="72">
        <f>ROUND(($B$3+$E$5)/$E$3,2)</f>
        <v/>
      </c>
      <c r="H42" s="72">
        <f>H41-G42</f>
        <v/>
      </c>
      <c r="J42" s="74">
        <f>B42-B41</f>
        <v/>
      </c>
    </row>
    <row r="43" ht="15" customHeight="1" s="54">
      <c r="A43" s="56" t="n">
        <v>34</v>
      </c>
      <c r="B43" s="65">
        <f>EOMONTH($E$5,34)</f>
        <v/>
      </c>
      <c r="C43" s="66">
        <f>IF(34=$B$5,F42+D43,$H$4)</f>
        <v/>
      </c>
      <c r="D43" s="69">
        <f>ROUND(F42*$B$4/100*J43/365,2)</f>
        <v/>
      </c>
      <c r="E43" s="71">
        <f>C43-D43</f>
        <v/>
      </c>
      <c r="F43" s="66">
        <f>F42-E43</f>
        <v/>
      </c>
      <c r="G43" s="72">
        <f>ROUND(($B$3+$E$5)/$E$3,2)</f>
        <v/>
      </c>
      <c r="H43" s="72">
        <f>H42-G43</f>
        <v/>
      </c>
      <c r="J43" s="74">
        <f>B43-B42</f>
        <v/>
      </c>
    </row>
    <row r="44" ht="15" customHeight="1" s="54">
      <c r="A44" s="56" t="n">
        <v>35</v>
      </c>
      <c r="B44" s="65">
        <f>EOMONTH($E$5,35)</f>
        <v/>
      </c>
      <c r="C44" s="66">
        <f>IF(35=$B$5,F43+D44,$H$4)</f>
        <v/>
      </c>
      <c r="D44" s="69">
        <f>ROUND(F43*$B$4/100*J44/365,2)</f>
        <v/>
      </c>
      <c r="E44" s="71">
        <f>C44-D44</f>
        <v/>
      </c>
      <c r="F44" s="66">
        <f>F43-E44</f>
        <v/>
      </c>
      <c r="G44" s="72">
        <f>ROUND(($B$3+$E$5)/$E$3,2)</f>
        <v/>
      </c>
      <c r="H44" s="72">
        <f>H43-G44</f>
        <v/>
      </c>
      <c r="J44" s="74">
        <f>B44-B43</f>
        <v/>
      </c>
    </row>
    <row r="45" ht="15" customHeight="1" s="54">
      <c r="A45" s="56" t="n">
        <v>36</v>
      </c>
      <c r="B45" s="65">
        <f>EOMONTH($E$5,36)</f>
        <v/>
      </c>
      <c r="C45" s="66">
        <f>IF(36=$B$5,F44+D45,$H$4)</f>
        <v/>
      </c>
      <c r="D45" s="69">
        <f>ROUND(F44*$B$4/100*J45/365,2)</f>
        <v/>
      </c>
      <c r="E45" s="71">
        <f>C45-D45</f>
        <v/>
      </c>
      <c r="F45" s="66">
        <f>F44-E45</f>
        <v/>
      </c>
      <c r="G45" s="72">
        <f>ROUND(($B$3+$E$5)/$E$3,2)</f>
        <v/>
      </c>
      <c r="H45" s="72">
        <f>H44-G45</f>
        <v/>
      </c>
      <c r="J45" s="74">
        <f>B45-B44</f>
        <v/>
      </c>
    </row>
  </sheetData>
  <mergeCells count="1"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D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53" min="1" max="1"/>
    <col width="16" customWidth="1" style="53" min="3" max="3"/>
    <col width="64" customWidth="1" style="53" min="4" max="4"/>
  </cols>
  <sheetData>
    <row r="1" ht="15.75" customHeight="1" s="54">
      <c r="A1" s="55" t="inlineStr">
        <is>
          <t>LEASE-DEMO-001 — Maturity Profile</t>
        </is>
      </c>
    </row>
    <row r="3" ht="15" customHeight="1" s="54">
      <c r="A3" s="75" t="inlineStr">
        <is>
          <t>GL Classification — Aging</t>
        </is>
      </c>
      <c r="D3" s="76" t="inlineStr">
        <is>
          <t>ที่มา / วิธีคิด (อ้างอิงแท็บ schedule)</t>
        </is>
      </c>
    </row>
    <row r="4" ht="21.75" customHeight="1" s="54">
      <c r="A4" s="56" t="inlineStr">
        <is>
          <t>Current Portion (≤ 12 เดือน)</t>
        </is>
      </c>
      <c r="C4" s="66">
        <f>SUM(Leasing!E10:E21)</f>
        <v/>
      </c>
      <c r="D4" s="77" t="inlineStr">
        <is>
          <t>รวม "เงินต้นตัดต่องวด" (PRINCIPAL (ตัดต้น) สีเขียว) งวดที่ 1–12</t>
        </is>
      </c>
    </row>
    <row r="5" ht="15" customHeight="1" s="54">
      <c r="A5" s="56" t="inlineStr">
        <is>
          <t>Non-current (&gt; 12 เดือน)</t>
        </is>
      </c>
      <c r="C5" s="66">
        <f>SUM(Leasing!E22:E45)</f>
        <v/>
      </c>
      <c r="D5" s="77" t="inlineStr">
        <is>
          <t>รวม PRINCIPAL (สีเขียว) งวดที่ 13–36  (หรือ Total ลบ Current)</t>
        </is>
      </c>
    </row>
    <row r="6" ht="15" customHeight="1" s="54">
      <c r="A6" s="61" t="inlineStr">
        <is>
          <t>Total Principal</t>
        </is>
      </c>
      <c r="C6" s="62">
        <f>Leasing!$B$3</f>
        <v/>
      </c>
      <c r="D6" s="77" t="inlineStr">
        <is>
          <t>เงินต้นตั้งต้น — ช่อง PRINCIPAL / ROU</t>
        </is>
      </c>
    </row>
    <row r="8" ht="15" customHeight="1" s="54">
      <c r="A8" s="75" t="inlineStr">
        <is>
          <t>ภาระผูกพันในอนาคต (เงินต้น + ดอกเบี้ย ยังไม่คิดลด)</t>
        </is>
      </c>
      <c r="D8" s="76" t="inlineStr">
        <is>
          <t>ที่มา / วิธีคิด</t>
        </is>
      </c>
    </row>
    <row r="9" ht="15" customHeight="1" s="54">
      <c r="A9" s="56" t="inlineStr">
        <is>
          <t>ภายใน 1 ปี</t>
        </is>
      </c>
      <c r="C9" s="66">
        <f>SUMPRODUCT((Leasing!A10:A45&lt;=12)*(Leasing!E10:E45+Leasing!D10:D45))</f>
        <v/>
      </c>
      <c r="D9" s="77" t="inlineStr">
        <is>
          <t>รวม PRINCIPAL (สีเขียว) + INTEREST (สีส้ม) งวดที่ 1–12</t>
        </is>
      </c>
    </row>
    <row r="10" ht="15" customHeight="1" s="54">
      <c r="A10" s="56" t="inlineStr">
        <is>
          <t>1 - 5 ปี</t>
        </is>
      </c>
      <c r="C10" s="66">
        <f>SUMPRODUCT((Leasing!A10:A45&gt;12)*(Leasing!A10:A45&lt;=60)*(Leasing!E10:E45+Leasing!D10:D45))</f>
        <v/>
      </c>
      <c r="D10" s="77" t="inlineStr">
        <is>
          <t>รวม PRINCIPAL + INTEREST งวดที่ 13–60</t>
        </is>
      </c>
    </row>
    <row r="11" ht="15" customHeight="1" s="54">
      <c r="A11" s="56" t="inlineStr">
        <is>
          <t>มากกว่า 5 ปี</t>
        </is>
      </c>
      <c r="C11" s="66">
        <f>SUMPRODUCT((Leasing!A10:A45&gt;60)*(Leasing!E10:E45+Leasing!D10:D45))</f>
        <v/>
      </c>
      <c r="D11" s="77" t="inlineStr">
        <is>
          <t>งวดเกิน 60 เดือน — มี 36 งวด จึง = 0</t>
        </is>
      </c>
    </row>
    <row r="12" ht="21.75" customHeight="1" s="54">
      <c r="A12" s="61" t="inlineStr">
        <is>
          <t>Total Future Cash Flow</t>
        </is>
      </c>
      <c r="C12" s="62">
        <f>Leasing!$B$3+Leasing!$H$5</f>
        <v/>
      </c>
      <c r="D12" s="77" t="inlineStr">
        <is>
          <t>ช่อง PRINCIPAL + ดอกเบี้ยรวมทั้งสัญญา (INTEREST สีส้มรวมทุกงวด)</t>
        </is>
      </c>
    </row>
    <row r="14" ht="15" customHeight="1" s="54">
      <c r="A14" s="75" t="inlineStr">
        <is>
          <t>Lease Classification: Finance (net/ROU · TFRS16)</t>
        </is>
      </c>
    </row>
  </sheetData>
  <mergeCells count="1">
    <mergeCell ref="A1:C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J6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" customWidth="1" style="53" min="1" max="1"/>
    <col width="12" customWidth="1" style="53" min="2" max="2"/>
    <col width="13" customWidth="1" style="53" min="3" max="3"/>
    <col width="12" customWidth="1" style="53" min="4" max="4"/>
    <col width="16" customWidth="1" style="53" min="5" max="6"/>
    <col width="13" customWidth="1" style="53" min="7" max="8"/>
    <col width="5" customWidth="1" style="53" min="10" max="10"/>
  </cols>
  <sheetData>
    <row r="1" ht="15" customHeight="1" s="54">
      <c r="A1" s="55" t="inlineStr">
        <is>
          <t>LSO-DEMO-001 — Lease Other (เช่าอาคาร · net/ROU)</t>
        </is>
      </c>
    </row>
    <row r="3" ht="15" customHeight="1" s="54">
      <c r="A3" s="56" t="inlineStr">
        <is>
          <t>PRINCIPAL / ROU (NPV)</t>
        </is>
      </c>
      <c r="B3" s="57" t="n">
        <v>900000</v>
      </c>
      <c r="D3" s="56" t="inlineStr">
        <is>
          <t>ROU LIFE (เดือน)</t>
        </is>
      </c>
      <c r="E3" s="58" t="n">
        <v>60</v>
      </c>
    </row>
    <row r="4" ht="15" customHeight="1" s="54">
      <c r="A4" s="56" t="inlineStr">
        <is>
          <t>RATE / YEAR (%)</t>
        </is>
      </c>
      <c r="B4" s="59" t="n">
        <v>3.5</v>
      </c>
      <c r="D4" s="56" t="inlineStr">
        <is>
          <t>PAYMENT START DATE</t>
        </is>
      </c>
      <c r="E4" s="63" t="n">
        <v>46295</v>
      </c>
      <c r="G4" s="61" t="inlineStr">
        <is>
          <t>INSTALLMENT = PMT (แก้เป็นค่าระบบได้)</t>
        </is>
      </c>
      <c r="H4" s="62">
        <f>ROUND(-PMT($B$4/100/12,$B$5,$B$3),2)</f>
        <v/>
      </c>
    </row>
    <row r="5" ht="15" customHeight="1" s="54">
      <c r="A5" s="56" t="inlineStr">
        <is>
          <t>TERM (MONTHS)</t>
        </is>
      </c>
      <c r="B5" s="58" t="n">
        <v>60</v>
      </c>
      <c r="D5" s="56" t="inlineStr">
        <is>
          <t>UPFRONT (จ่ายล่วงหน้า)</t>
        </is>
      </c>
      <c r="E5" s="60" t="n">
        <v>50000</v>
      </c>
      <c r="G5" s="61" t="inlineStr">
        <is>
          <t>ดอกเบี้ยรวมทั้งสัญญา</t>
        </is>
      </c>
      <c r="H5" s="62">
        <f>SUM(D10:D69)</f>
        <v/>
      </c>
    </row>
    <row r="9" ht="23.25" customHeight="1" s="54">
      <c r="A9" s="64" t="inlineStr">
        <is>
          <t>#</t>
        </is>
      </c>
      <c r="B9" s="64" t="inlineStr">
        <is>
          <t>PAYMENT DATE</t>
        </is>
      </c>
      <c r="C9" s="64" t="inlineStr">
        <is>
          <t>INSTALLMENT</t>
        </is>
      </c>
      <c r="D9" s="64" t="inlineStr">
        <is>
          <t>INTEREST</t>
        </is>
      </c>
      <c r="E9" s="64" t="inlineStr">
        <is>
          <t>PRINCIPAL (ตัดต้น)</t>
        </is>
      </c>
      <c r="F9" s="64" t="inlineStr">
        <is>
          <t>LIABILITY BALANCE</t>
        </is>
      </c>
      <c r="G9" s="64" t="inlineStr">
        <is>
          <t>DEPRECIATION</t>
        </is>
      </c>
      <c r="H9" s="64" t="inlineStr">
        <is>
          <t>ROU BALANCE</t>
        </is>
      </c>
    </row>
    <row r="10" ht="15" customHeight="1" s="54">
      <c r="A10" s="56" t="n">
        <v>1</v>
      </c>
      <c r="B10" s="65">
        <f>EOMONTH($E$5,1)</f>
        <v/>
      </c>
      <c r="C10" s="66">
        <f>IF(1=$B$5,F9+D10,$H$4)</f>
        <v/>
      </c>
      <c r="D10" s="69">
        <f>ROUND($B$3*$B$4/100*J10/365,2)</f>
        <v/>
      </c>
      <c r="E10" s="71">
        <f>C10-D10</f>
        <v/>
      </c>
      <c r="F10" s="66">
        <f>$B$3-E10</f>
        <v/>
      </c>
      <c r="G10" s="72">
        <f>ROUND(($B$3+$E$5)/$E$3,2)</f>
        <v/>
      </c>
      <c r="H10" s="72">
        <f>($B$3+$E$5)-G10</f>
        <v/>
      </c>
      <c r="J10" s="78">
        <f>B10-$E$5</f>
        <v/>
      </c>
    </row>
    <row r="11" ht="15" customHeight="1" s="54">
      <c r="A11" s="56" t="n">
        <v>2</v>
      </c>
      <c r="B11" s="65">
        <f>EOMONTH($E$5,2)</f>
        <v/>
      </c>
      <c r="C11" s="66">
        <f>IF(2=$B$5,F10+D11,$H$4)</f>
        <v/>
      </c>
      <c r="D11" s="69">
        <f>ROUND(F10*$B$4/100*J11/365,2)</f>
        <v/>
      </c>
      <c r="E11" s="71">
        <f>C11-D11</f>
        <v/>
      </c>
      <c r="F11" s="66">
        <f>F10-E11</f>
        <v/>
      </c>
      <c r="G11" s="72">
        <f>ROUND(($B$3+$E$5)/$E$3,2)</f>
        <v/>
      </c>
      <c r="H11" s="72">
        <f>H10-G11</f>
        <v/>
      </c>
      <c r="J11" s="74">
        <f>B11-B10</f>
        <v/>
      </c>
    </row>
    <row r="12" ht="15" customHeight="1" s="54">
      <c r="A12" s="56" t="n">
        <v>3</v>
      </c>
      <c r="B12" s="65">
        <f>EOMONTH($E$5,3)</f>
        <v/>
      </c>
      <c r="C12" s="66">
        <f>IF(3=$B$5,F11+D12,$H$4)</f>
        <v/>
      </c>
      <c r="D12" s="69">
        <f>ROUND(F11*$B$4/100*J12/365,2)</f>
        <v/>
      </c>
      <c r="E12" s="71">
        <f>C12-D12</f>
        <v/>
      </c>
      <c r="F12" s="66">
        <f>F11-E12</f>
        <v/>
      </c>
      <c r="G12" s="72">
        <f>ROUND(($B$3+$E$5)/$E$3,2)</f>
        <v/>
      </c>
      <c r="H12" s="72">
        <f>H11-G12</f>
        <v/>
      </c>
      <c r="J12" s="74">
        <f>B12-B11</f>
        <v/>
      </c>
    </row>
    <row r="13" ht="15" customHeight="1" s="54">
      <c r="A13" s="56" t="n">
        <v>4</v>
      </c>
      <c r="B13" s="65">
        <f>EOMONTH($E$5,4)</f>
        <v/>
      </c>
      <c r="C13" s="66">
        <f>IF(4=$B$5,F12+D13,$H$4)</f>
        <v/>
      </c>
      <c r="D13" s="69">
        <f>ROUND(F12*$B$4/100*J13/365,2)</f>
        <v/>
      </c>
      <c r="E13" s="71">
        <f>C13-D13</f>
        <v/>
      </c>
      <c r="F13" s="66">
        <f>F12-E13</f>
        <v/>
      </c>
      <c r="G13" s="72">
        <f>ROUND(($B$3+$E$5)/$E$3,2)</f>
        <v/>
      </c>
      <c r="H13" s="72">
        <f>H12-G13</f>
        <v/>
      </c>
      <c r="J13" s="74">
        <f>B13-B12</f>
        <v/>
      </c>
    </row>
    <row r="14" ht="15" customHeight="1" s="54">
      <c r="A14" s="56" t="n">
        <v>5</v>
      </c>
      <c r="B14" s="65">
        <f>EOMONTH($E$5,5)</f>
        <v/>
      </c>
      <c r="C14" s="66">
        <f>IF(5=$B$5,F13+D14,$H$4)</f>
        <v/>
      </c>
      <c r="D14" s="69">
        <f>ROUND(F13*$B$4/100*J14/365,2)</f>
        <v/>
      </c>
      <c r="E14" s="71">
        <f>C14-D14</f>
        <v/>
      </c>
      <c r="F14" s="66">
        <f>F13-E14</f>
        <v/>
      </c>
      <c r="G14" s="72">
        <f>ROUND(($B$3+$E$5)/$E$3,2)</f>
        <v/>
      </c>
      <c r="H14" s="72">
        <f>H13-G14</f>
        <v/>
      </c>
      <c r="J14" s="74">
        <f>B14-B13</f>
        <v/>
      </c>
    </row>
    <row r="15" ht="15" customHeight="1" s="54">
      <c r="A15" s="56" t="n">
        <v>6</v>
      </c>
      <c r="B15" s="65">
        <f>EOMONTH($E$5,6)</f>
        <v/>
      </c>
      <c r="C15" s="66">
        <f>IF(6=$B$5,F14+D15,$H$4)</f>
        <v/>
      </c>
      <c r="D15" s="69">
        <f>ROUND(F14*$B$4/100*J15/365,2)</f>
        <v/>
      </c>
      <c r="E15" s="71">
        <f>C15-D15</f>
        <v/>
      </c>
      <c r="F15" s="66">
        <f>F14-E15</f>
        <v/>
      </c>
      <c r="G15" s="72">
        <f>ROUND(($B$3+$E$5)/$E$3,2)</f>
        <v/>
      </c>
      <c r="H15" s="72">
        <f>H14-G15</f>
        <v/>
      </c>
      <c r="J15" s="74">
        <f>B15-B14</f>
        <v/>
      </c>
    </row>
    <row r="16" ht="15" customHeight="1" s="54">
      <c r="A16" s="56" t="n">
        <v>7</v>
      </c>
      <c r="B16" s="65">
        <f>EOMONTH($E$5,7)</f>
        <v/>
      </c>
      <c r="C16" s="66">
        <f>IF(7=$B$5,F15+D16,$H$4)</f>
        <v/>
      </c>
      <c r="D16" s="69">
        <f>ROUND(F15*$B$4/100*J16/365,2)</f>
        <v/>
      </c>
      <c r="E16" s="71">
        <f>C16-D16</f>
        <v/>
      </c>
      <c r="F16" s="66">
        <f>F15-E16</f>
        <v/>
      </c>
      <c r="G16" s="72">
        <f>ROUND(($B$3+$E$5)/$E$3,2)</f>
        <v/>
      </c>
      <c r="H16" s="72">
        <f>H15-G16</f>
        <v/>
      </c>
      <c r="J16" s="74">
        <f>B16-B15</f>
        <v/>
      </c>
    </row>
    <row r="17" ht="15" customHeight="1" s="54">
      <c r="A17" s="56" t="n">
        <v>8</v>
      </c>
      <c r="B17" s="65">
        <f>EOMONTH($E$5,8)</f>
        <v/>
      </c>
      <c r="C17" s="66">
        <f>IF(8=$B$5,F16+D17,$H$4)</f>
        <v/>
      </c>
      <c r="D17" s="69">
        <f>ROUND(F16*$B$4/100*J17/365,2)</f>
        <v/>
      </c>
      <c r="E17" s="71">
        <f>C17-D17</f>
        <v/>
      </c>
      <c r="F17" s="66">
        <f>F16-E17</f>
        <v/>
      </c>
      <c r="G17" s="72">
        <f>ROUND(($B$3+$E$5)/$E$3,2)</f>
        <v/>
      </c>
      <c r="H17" s="72">
        <f>H16-G17</f>
        <v/>
      </c>
      <c r="J17" s="74">
        <f>B17-B16</f>
        <v/>
      </c>
    </row>
    <row r="18" ht="15" customHeight="1" s="54">
      <c r="A18" s="56" t="n">
        <v>9</v>
      </c>
      <c r="B18" s="65">
        <f>EOMONTH($E$5,9)</f>
        <v/>
      </c>
      <c r="C18" s="66">
        <f>IF(9=$B$5,F17+D18,$H$4)</f>
        <v/>
      </c>
      <c r="D18" s="69">
        <f>ROUND(F17*$B$4/100*J18/365,2)</f>
        <v/>
      </c>
      <c r="E18" s="71">
        <f>C18-D18</f>
        <v/>
      </c>
      <c r="F18" s="66">
        <f>F17-E18</f>
        <v/>
      </c>
      <c r="G18" s="72">
        <f>ROUND(($B$3+$E$5)/$E$3,2)</f>
        <v/>
      </c>
      <c r="H18" s="72">
        <f>H17-G18</f>
        <v/>
      </c>
      <c r="J18" s="74">
        <f>B18-B17</f>
        <v/>
      </c>
    </row>
    <row r="19" ht="15" customHeight="1" s="54">
      <c r="A19" s="56" t="n">
        <v>10</v>
      </c>
      <c r="B19" s="65">
        <f>EOMONTH($E$5,10)</f>
        <v/>
      </c>
      <c r="C19" s="66">
        <f>IF(10=$B$5,F18+D19,$H$4)</f>
        <v/>
      </c>
      <c r="D19" s="69">
        <f>ROUND(F18*$B$4/100*J19/365,2)</f>
        <v/>
      </c>
      <c r="E19" s="71">
        <f>C19-D19</f>
        <v/>
      </c>
      <c r="F19" s="66">
        <f>F18-E19</f>
        <v/>
      </c>
      <c r="G19" s="72">
        <f>ROUND(($B$3+$E$5)/$E$3,2)</f>
        <v/>
      </c>
      <c r="H19" s="72">
        <f>H18-G19</f>
        <v/>
      </c>
      <c r="J19" s="74">
        <f>B19-B18</f>
        <v/>
      </c>
    </row>
    <row r="20" ht="15" customHeight="1" s="54">
      <c r="A20" s="56" t="n">
        <v>11</v>
      </c>
      <c r="B20" s="65">
        <f>EOMONTH($E$5,11)</f>
        <v/>
      </c>
      <c r="C20" s="66">
        <f>IF(11=$B$5,F19+D20,$H$4)</f>
        <v/>
      </c>
      <c r="D20" s="69">
        <f>ROUND(F19*$B$4/100*J20/365,2)</f>
        <v/>
      </c>
      <c r="E20" s="71">
        <f>C20-D20</f>
        <v/>
      </c>
      <c r="F20" s="66">
        <f>F19-E20</f>
        <v/>
      </c>
      <c r="G20" s="72">
        <f>ROUND(($B$3+$E$5)/$E$3,2)</f>
        <v/>
      </c>
      <c r="H20" s="72">
        <f>H19-G20</f>
        <v/>
      </c>
      <c r="J20" s="74">
        <f>B20-B19</f>
        <v/>
      </c>
    </row>
    <row r="21" ht="15" customHeight="1" s="54">
      <c r="A21" s="56" t="n">
        <v>12</v>
      </c>
      <c r="B21" s="65">
        <f>EOMONTH($E$5,12)</f>
        <v/>
      </c>
      <c r="C21" s="66">
        <f>IF(12=$B$5,F20+D21,$H$4)</f>
        <v/>
      </c>
      <c r="D21" s="69">
        <f>ROUND(F20*$B$4/100*J21/365,2)</f>
        <v/>
      </c>
      <c r="E21" s="71">
        <f>C21-D21</f>
        <v/>
      </c>
      <c r="F21" s="66">
        <f>F20-E21</f>
        <v/>
      </c>
      <c r="G21" s="72">
        <f>ROUND(($B$3+$E$5)/$E$3,2)</f>
        <v/>
      </c>
      <c r="H21" s="72">
        <f>H20-G21</f>
        <v/>
      </c>
      <c r="J21" s="74">
        <f>B21-B20</f>
        <v/>
      </c>
    </row>
    <row r="22" ht="15" customHeight="1" s="54">
      <c r="A22" s="56" t="n">
        <v>13</v>
      </c>
      <c r="B22" s="65">
        <f>EOMONTH($E$5,13)</f>
        <v/>
      </c>
      <c r="C22" s="66">
        <f>IF(13=$B$5,F21+D22,$H$4)</f>
        <v/>
      </c>
      <c r="D22" s="69">
        <f>ROUND(F21*$B$4/100*J22/365,2)</f>
        <v/>
      </c>
      <c r="E22" s="71">
        <f>C22-D22</f>
        <v/>
      </c>
      <c r="F22" s="66">
        <f>F21-E22</f>
        <v/>
      </c>
      <c r="G22" s="72">
        <f>ROUND(($B$3+$E$5)/$E$3,2)</f>
        <v/>
      </c>
      <c r="H22" s="72">
        <f>H21-G22</f>
        <v/>
      </c>
      <c r="J22" s="74">
        <f>B22-B21</f>
        <v/>
      </c>
    </row>
    <row r="23" ht="15" customHeight="1" s="54">
      <c r="A23" s="56" t="n">
        <v>14</v>
      </c>
      <c r="B23" s="65">
        <f>EOMONTH($E$5,14)</f>
        <v/>
      </c>
      <c r="C23" s="66">
        <f>IF(14=$B$5,F22+D23,$H$4)</f>
        <v/>
      </c>
      <c r="D23" s="69">
        <f>ROUND(F22*$B$4/100*J23/365,2)</f>
        <v/>
      </c>
      <c r="E23" s="71">
        <f>C23-D23</f>
        <v/>
      </c>
      <c r="F23" s="66">
        <f>F22-E23</f>
        <v/>
      </c>
      <c r="G23" s="72">
        <f>ROUND(($B$3+$E$5)/$E$3,2)</f>
        <v/>
      </c>
      <c r="H23" s="72">
        <f>H22-G23</f>
        <v/>
      </c>
      <c r="J23" s="74">
        <f>B23-B22</f>
        <v/>
      </c>
    </row>
    <row r="24" ht="15" customHeight="1" s="54">
      <c r="A24" s="56" t="n">
        <v>15</v>
      </c>
      <c r="B24" s="65">
        <f>EOMONTH($E$5,15)</f>
        <v/>
      </c>
      <c r="C24" s="66">
        <f>IF(15=$B$5,F23+D24,$H$4)</f>
        <v/>
      </c>
      <c r="D24" s="69">
        <f>ROUND(F23*$B$4/100*J24/365,2)</f>
        <v/>
      </c>
      <c r="E24" s="71">
        <f>C24-D24</f>
        <v/>
      </c>
      <c r="F24" s="66">
        <f>F23-E24</f>
        <v/>
      </c>
      <c r="G24" s="72">
        <f>ROUND(($B$3+$E$5)/$E$3,2)</f>
        <v/>
      </c>
      <c r="H24" s="72">
        <f>H23-G24</f>
        <v/>
      </c>
      <c r="J24" s="74">
        <f>B24-B23</f>
        <v/>
      </c>
    </row>
    <row r="25" ht="15" customHeight="1" s="54">
      <c r="A25" s="56" t="n">
        <v>16</v>
      </c>
      <c r="B25" s="65">
        <f>EOMONTH($E$5,16)</f>
        <v/>
      </c>
      <c r="C25" s="66">
        <f>IF(16=$B$5,F24+D25,$H$4)</f>
        <v/>
      </c>
      <c r="D25" s="69">
        <f>ROUND(F24*$B$4/100*J25/365,2)</f>
        <v/>
      </c>
      <c r="E25" s="71">
        <f>C25-D25</f>
        <v/>
      </c>
      <c r="F25" s="66">
        <f>F24-E25</f>
        <v/>
      </c>
      <c r="G25" s="72">
        <f>ROUND(($B$3+$E$5)/$E$3,2)</f>
        <v/>
      </c>
      <c r="H25" s="72">
        <f>H24-G25</f>
        <v/>
      </c>
      <c r="J25" s="74">
        <f>B25-B24</f>
        <v/>
      </c>
    </row>
    <row r="26" ht="15" customHeight="1" s="54">
      <c r="A26" s="56" t="n">
        <v>17</v>
      </c>
      <c r="B26" s="65">
        <f>EOMONTH($E$5,17)</f>
        <v/>
      </c>
      <c r="C26" s="66">
        <f>IF(17=$B$5,F25+D26,$H$4)</f>
        <v/>
      </c>
      <c r="D26" s="69">
        <f>ROUND(F25*$B$4/100*J26/365,2)</f>
        <v/>
      </c>
      <c r="E26" s="71">
        <f>C26-D26</f>
        <v/>
      </c>
      <c r="F26" s="66">
        <f>F25-E26</f>
        <v/>
      </c>
      <c r="G26" s="72">
        <f>ROUND(($B$3+$E$5)/$E$3,2)</f>
        <v/>
      </c>
      <c r="H26" s="72">
        <f>H25-G26</f>
        <v/>
      </c>
      <c r="J26" s="74">
        <f>B26-B25</f>
        <v/>
      </c>
    </row>
    <row r="27" ht="15" customHeight="1" s="54">
      <c r="A27" s="56" t="n">
        <v>18</v>
      </c>
      <c r="B27" s="65">
        <f>EOMONTH($E$5,18)</f>
        <v/>
      </c>
      <c r="C27" s="66">
        <f>IF(18=$B$5,F26+D27,$H$4)</f>
        <v/>
      </c>
      <c r="D27" s="69">
        <f>ROUND(F26*$B$4/100*J27/365,2)</f>
        <v/>
      </c>
      <c r="E27" s="71">
        <f>C27-D27</f>
        <v/>
      </c>
      <c r="F27" s="66">
        <f>F26-E27</f>
        <v/>
      </c>
      <c r="G27" s="72">
        <f>ROUND(($B$3+$E$5)/$E$3,2)</f>
        <v/>
      </c>
      <c r="H27" s="72">
        <f>H26-G27</f>
        <v/>
      </c>
      <c r="J27" s="74">
        <f>B27-B26</f>
        <v/>
      </c>
    </row>
    <row r="28" ht="15" customHeight="1" s="54">
      <c r="A28" s="56" t="n">
        <v>19</v>
      </c>
      <c r="B28" s="65">
        <f>EOMONTH($E$5,19)</f>
        <v/>
      </c>
      <c r="C28" s="66">
        <f>IF(19=$B$5,F27+D28,$H$4)</f>
        <v/>
      </c>
      <c r="D28" s="69">
        <f>ROUND(F27*$B$4/100*J28/365,2)</f>
        <v/>
      </c>
      <c r="E28" s="71">
        <f>C28-D28</f>
        <v/>
      </c>
      <c r="F28" s="66">
        <f>F27-E28</f>
        <v/>
      </c>
      <c r="G28" s="72">
        <f>ROUND(($B$3+$E$5)/$E$3,2)</f>
        <v/>
      </c>
      <c r="H28" s="72">
        <f>H27-G28</f>
        <v/>
      </c>
      <c r="J28" s="74">
        <f>B28-B27</f>
        <v/>
      </c>
    </row>
    <row r="29" ht="15" customHeight="1" s="54">
      <c r="A29" s="56" t="n">
        <v>20</v>
      </c>
      <c r="B29" s="65">
        <f>EOMONTH($E$5,20)</f>
        <v/>
      </c>
      <c r="C29" s="66">
        <f>IF(20=$B$5,F28+D29,$H$4)</f>
        <v/>
      </c>
      <c r="D29" s="69">
        <f>ROUND(F28*$B$4/100*J29/365,2)</f>
        <v/>
      </c>
      <c r="E29" s="71">
        <f>C29-D29</f>
        <v/>
      </c>
      <c r="F29" s="66">
        <f>F28-E29</f>
        <v/>
      </c>
      <c r="G29" s="72">
        <f>ROUND(($B$3+$E$5)/$E$3,2)</f>
        <v/>
      </c>
      <c r="H29" s="72">
        <f>H28-G29</f>
        <v/>
      </c>
      <c r="J29" s="74">
        <f>B29-B28</f>
        <v/>
      </c>
    </row>
    <row r="30" ht="15" customHeight="1" s="54">
      <c r="A30" s="56" t="n">
        <v>21</v>
      </c>
      <c r="B30" s="65">
        <f>EOMONTH($E$5,21)</f>
        <v/>
      </c>
      <c r="C30" s="66">
        <f>IF(21=$B$5,F29+D30,$H$4)</f>
        <v/>
      </c>
      <c r="D30" s="69">
        <f>ROUND(F29*$B$4/100*J30/365,2)</f>
        <v/>
      </c>
      <c r="E30" s="71">
        <f>C30-D30</f>
        <v/>
      </c>
      <c r="F30" s="66">
        <f>F29-E30</f>
        <v/>
      </c>
      <c r="G30" s="72">
        <f>ROUND(($B$3+$E$5)/$E$3,2)</f>
        <v/>
      </c>
      <c r="H30" s="72">
        <f>H29-G30</f>
        <v/>
      </c>
      <c r="J30" s="74">
        <f>B30-B29</f>
        <v/>
      </c>
    </row>
    <row r="31" ht="15" customHeight="1" s="54">
      <c r="A31" s="56" t="n">
        <v>22</v>
      </c>
      <c r="B31" s="65">
        <f>EOMONTH($E$5,22)</f>
        <v/>
      </c>
      <c r="C31" s="66">
        <f>IF(22=$B$5,F30+D31,$H$4)</f>
        <v/>
      </c>
      <c r="D31" s="69">
        <f>ROUND(F30*$B$4/100*J31/365,2)</f>
        <v/>
      </c>
      <c r="E31" s="71">
        <f>C31-D31</f>
        <v/>
      </c>
      <c r="F31" s="66">
        <f>F30-E31</f>
        <v/>
      </c>
      <c r="G31" s="72">
        <f>ROUND(($B$3+$E$5)/$E$3,2)</f>
        <v/>
      </c>
      <c r="H31" s="72">
        <f>H30-G31</f>
        <v/>
      </c>
      <c r="J31" s="74">
        <f>B31-B30</f>
        <v/>
      </c>
    </row>
    <row r="32" ht="15" customHeight="1" s="54">
      <c r="A32" s="56" t="n">
        <v>23</v>
      </c>
      <c r="B32" s="65">
        <f>EOMONTH($E$5,23)</f>
        <v/>
      </c>
      <c r="C32" s="66">
        <f>IF(23=$B$5,F31+D32,$H$4)</f>
        <v/>
      </c>
      <c r="D32" s="69">
        <f>ROUND(F31*$B$4/100*J32/365,2)</f>
        <v/>
      </c>
      <c r="E32" s="71">
        <f>C32-D32</f>
        <v/>
      </c>
      <c r="F32" s="66">
        <f>F31-E32</f>
        <v/>
      </c>
      <c r="G32" s="72">
        <f>ROUND(($B$3+$E$5)/$E$3,2)</f>
        <v/>
      </c>
      <c r="H32" s="72">
        <f>H31-G32</f>
        <v/>
      </c>
      <c r="J32" s="74">
        <f>B32-B31</f>
        <v/>
      </c>
    </row>
    <row r="33" ht="15" customHeight="1" s="54">
      <c r="A33" s="56" t="n">
        <v>24</v>
      </c>
      <c r="B33" s="65">
        <f>EOMONTH($E$5,24)</f>
        <v/>
      </c>
      <c r="C33" s="66">
        <f>IF(24=$B$5,F32+D33,$H$4)</f>
        <v/>
      </c>
      <c r="D33" s="69">
        <f>ROUND(F32*$B$4/100*J33/365,2)</f>
        <v/>
      </c>
      <c r="E33" s="71">
        <f>C33-D33</f>
        <v/>
      </c>
      <c r="F33" s="66">
        <f>F32-E33</f>
        <v/>
      </c>
      <c r="G33" s="72">
        <f>ROUND(($B$3+$E$5)/$E$3,2)</f>
        <v/>
      </c>
      <c r="H33" s="72">
        <f>H32-G33</f>
        <v/>
      </c>
      <c r="J33" s="74">
        <f>B33-B32</f>
        <v/>
      </c>
    </row>
    <row r="34" ht="15" customHeight="1" s="54">
      <c r="A34" s="56" t="n">
        <v>25</v>
      </c>
      <c r="B34" s="65">
        <f>EOMONTH($E$5,25)</f>
        <v/>
      </c>
      <c r="C34" s="66">
        <f>IF(25=$B$5,F33+D34,$H$4)</f>
        <v/>
      </c>
      <c r="D34" s="69">
        <f>ROUND(F33*$B$4/100*J34/365,2)</f>
        <v/>
      </c>
      <c r="E34" s="71">
        <f>C34-D34</f>
        <v/>
      </c>
      <c r="F34" s="66">
        <f>F33-E34</f>
        <v/>
      </c>
      <c r="G34" s="72">
        <f>ROUND(($B$3+$E$5)/$E$3,2)</f>
        <v/>
      </c>
      <c r="H34" s="72">
        <f>H33-G34</f>
        <v/>
      </c>
      <c r="J34" s="74">
        <f>B34-B33</f>
        <v/>
      </c>
    </row>
    <row r="35" ht="15" customHeight="1" s="54">
      <c r="A35" s="56" t="n">
        <v>26</v>
      </c>
      <c r="B35" s="65">
        <f>EOMONTH($E$5,26)</f>
        <v/>
      </c>
      <c r="C35" s="66">
        <f>IF(26=$B$5,F34+D35,$H$4)</f>
        <v/>
      </c>
      <c r="D35" s="69">
        <f>ROUND(F34*$B$4/100*J35/365,2)</f>
        <v/>
      </c>
      <c r="E35" s="71">
        <f>C35-D35</f>
        <v/>
      </c>
      <c r="F35" s="66">
        <f>F34-E35</f>
        <v/>
      </c>
      <c r="G35" s="72">
        <f>ROUND(($B$3+$E$5)/$E$3,2)</f>
        <v/>
      </c>
      <c r="H35" s="72">
        <f>H34-G35</f>
        <v/>
      </c>
      <c r="J35" s="74">
        <f>B35-B34</f>
        <v/>
      </c>
    </row>
    <row r="36" ht="15" customHeight="1" s="54">
      <c r="A36" s="56" t="n">
        <v>27</v>
      </c>
      <c r="B36" s="65">
        <f>EOMONTH($E$5,27)</f>
        <v/>
      </c>
      <c r="C36" s="66">
        <f>IF(27=$B$5,F35+D36,$H$4)</f>
        <v/>
      </c>
      <c r="D36" s="69">
        <f>ROUND(F35*$B$4/100*J36/365,2)</f>
        <v/>
      </c>
      <c r="E36" s="71">
        <f>C36-D36</f>
        <v/>
      </c>
      <c r="F36" s="66">
        <f>F35-E36</f>
        <v/>
      </c>
      <c r="G36" s="72">
        <f>ROUND(($B$3+$E$5)/$E$3,2)</f>
        <v/>
      </c>
      <c r="H36" s="72">
        <f>H35-G36</f>
        <v/>
      </c>
      <c r="J36" s="74">
        <f>B36-B35</f>
        <v/>
      </c>
    </row>
    <row r="37" ht="15" customHeight="1" s="54">
      <c r="A37" s="56" t="n">
        <v>28</v>
      </c>
      <c r="B37" s="65">
        <f>EOMONTH($E$5,28)</f>
        <v/>
      </c>
      <c r="C37" s="66">
        <f>IF(28=$B$5,F36+D37,$H$4)</f>
        <v/>
      </c>
      <c r="D37" s="69">
        <f>ROUND(F36*$B$4/100*J37/365,2)</f>
        <v/>
      </c>
      <c r="E37" s="71">
        <f>C37-D37</f>
        <v/>
      </c>
      <c r="F37" s="66">
        <f>F36-E37</f>
        <v/>
      </c>
      <c r="G37" s="72">
        <f>ROUND(($B$3+$E$5)/$E$3,2)</f>
        <v/>
      </c>
      <c r="H37" s="72">
        <f>H36-G37</f>
        <v/>
      </c>
      <c r="J37" s="74">
        <f>B37-B36</f>
        <v/>
      </c>
    </row>
    <row r="38" ht="15" customHeight="1" s="54">
      <c r="A38" s="56" t="n">
        <v>29</v>
      </c>
      <c r="B38" s="65">
        <f>EOMONTH($E$5,29)</f>
        <v/>
      </c>
      <c r="C38" s="66">
        <f>IF(29=$B$5,F37+D38,$H$4)</f>
        <v/>
      </c>
      <c r="D38" s="69">
        <f>ROUND(F37*$B$4/100*J38/365,2)</f>
        <v/>
      </c>
      <c r="E38" s="71">
        <f>C38-D38</f>
        <v/>
      </c>
      <c r="F38" s="66">
        <f>F37-E38</f>
        <v/>
      </c>
      <c r="G38" s="72">
        <f>ROUND(($B$3+$E$5)/$E$3,2)</f>
        <v/>
      </c>
      <c r="H38" s="72">
        <f>H37-G38</f>
        <v/>
      </c>
      <c r="J38" s="74">
        <f>B38-B37</f>
        <v/>
      </c>
    </row>
    <row r="39" ht="15" customHeight="1" s="54">
      <c r="A39" s="56" t="n">
        <v>30</v>
      </c>
      <c r="B39" s="65">
        <f>EOMONTH($E$5,30)</f>
        <v/>
      </c>
      <c r="C39" s="66">
        <f>IF(30=$B$5,F38+D39,$H$4)</f>
        <v/>
      </c>
      <c r="D39" s="69">
        <f>ROUND(F38*$B$4/100*J39/365,2)</f>
        <v/>
      </c>
      <c r="E39" s="71">
        <f>C39-D39</f>
        <v/>
      </c>
      <c r="F39" s="66">
        <f>F38-E39</f>
        <v/>
      </c>
      <c r="G39" s="72">
        <f>ROUND(($B$3+$E$5)/$E$3,2)</f>
        <v/>
      </c>
      <c r="H39" s="72">
        <f>H38-G39</f>
        <v/>
      </c>
      <c r="J39" s="74">
        <f>B39-B38</f>
        <v/>
      </c>
    </row>
    <row r="40" ht="15" customHeight="1" s="54">
      <c r="A40" s="56" t="n">
        <v>31</v>
      </c>
      <c r="B40" s="65">
        <f>EOMONTH($E$5,31)</f>
        <v/>
      </c>
      <c r="C40" s="66">
        <f>IF(31=$B$5,F39+D40,$H$4)</f>
        <v/>
      </c>
      <c r="D40" s="69">
        <f>ROUND(F39*$B$4/100*J40/365,2)</f>
        <v/>
      </c>
      <c r="E40" s="71">
        <f>C40-D40</f>
        <v/>
      </c>
      <c r="F40" s="66">
        <f>F39-E40</f>
        <v/>
      </c>
      <c r="G40" s="72">
        <f>ROUND(($B$3+$E$5)/$E$3,2)</f>
        <v/>
      </c>
      <c r="H40" s="72">
        <f>H39-G40</f>
        <v/>
      </c>
      <c r="J40" s="74">
        <f>B40-B39</f>
        <v/>
      </c>
    </row>
    <row r="41" ht="15" customHeight="1" s="54">
      <c r="A41" s="56" t="n">
        <v>32</v>
      </c>
      <c r="B41" s="65">
        <f>EOMONTH($E$5,32)</f>
        <v/>
      </c>
      <c r="C41" s="66">
        <f>IF(32=$B$5,F40+D41,$H$4)</f>
        <v/>
      </c>
      <c r="D41" s="69">
        <f>ROUND(F40*$B$4/100*J41/365,2)</f>
        <v/>
      </c>
      <c r="E41" s="71">
        <f>C41-D41</f>
        <v/>
      </c>
      <c r="F41" s="66">
        <f>F40-E41</f>
        <v/>
      </c>
      <c r="G41" s="72">
        <f>ROUND(($B$3+$E$5)/$E$3,2)</f>
        <v/>
      </c>
      <c r="H41" s="72">
        <f>H40-G41</f>
        <v/>
      </c>
      <c r="J41" s="74">
        <f>B41-B40</f>
        <v/>
      </c>
    </row>
    <row r="42" ht="15" customHeight="1" s="54">
      <c r="A42" s="56" t="n">
        <v>33</v>
      </c>
      <c r="B42" s="65">
        <f>EOMONTH($E$5,33)</f>
        <v/>
      </c>
      <c r="C42" s="66">
        <f>IF(33=$B$5,F41+D42,$H$4)</f>
        <v/>
      </c>
      <c r="D42" s="69">
        <f>ROUND(F41*$B$4/100*J42/365,2)</f>
        <v/>
      </c>
      <c r="E42" s="71">
        <f>C42-D42</f>
        <v/>
      </c>
      <c r="F42" s="66">
        <f>F41-E42</f>
        <v/>
      </c>
      <c r="G42" s="72">
        <f>ROUND(($B$3+$E$5)/$E$3,2)</f>
        <v/>
      </c>
      <c r="H42" s="72">
        <f>H41-G42</f>
        <v/>
      </c>
      <c r="J42" s="74">
        <f>B42-B41</f>
        <v/>
      </c>
    </row>
    <row r="43" ht="15" customHeight="1" s="54">
      <c r="A43" s="56" t="n">
        <v>34</v>
      </c>
      <c r="B43" s="65">
        <f>EOMONTH($E$5,34)</f>
        <v/>
      </c>
      <c r="C43" s="66">
        <f>IF(34=$B$5,F42+D43,$H$4)</f>
        <v/>
      </c>
      <c r="D43" s="69">
        <f>ROUND(F42*$B$4/100*J43/365,2)</f>
        <v/>
      </c>
      <c r="E43" s="71">
        <f>C43-D43</f>
        <v/>
      </c>
      <c r="F43" s="66">
        <f>F42-E43</f>
        <v/>
      </c>
      <c r="G43" s="72">
        <f>ROUND(($B$3+$E$5)/$E$3,2)</f>
        <v/>
      </c>
      <c r="H43" s="72">
        <f>H42-G43</f>
        <v/>
      </c>
      <c r="J43" s="74">
        <f>B43-B42</f>
        <v/>
      </c>
    </row>
    <row r="44" ht="15" customHeight="1" s="54">
      <c r="A44" s="56" t="n">
        <v>35</v>
      </c>
      <c r="B44" s="65">
        <f>EOMONTH($E$5,35)</f>
        <v/>
      </c>
      <c r="C44" s="66">
        <f>IF(35=$B$5,F43+D44,$H$4)</f>
        <v/>
      </c>
      <c r="D44" s="69">
        <f>ROUND(F43*$B$4/100*J44/365,2)</f>
        <v/>
      </c>
      <c r="E44" s="71">
        <f>C44-D44</f>
        <v/>
      </c>
      <c r="F44" s="66">
        <f>F43-E44</f>
        <v/>
      </c>
      <c r="G44" s="72">
        <f>ROUND(($B$3+$E$5)/$E$3,2)</f>
        <v/>
      </c>
      <c r="H44" s="72">
        <f>H43-G44</f>
        <v/>
      </c>
      <c r="J44" s="74">
        <f>B44-B43</f>
        <v/>
      </c>
    </row>
    <row r="45" ht="15" customHeight="1" s="54">
      <c r="A45" s="56" t="n">
        <v>36</v>
      </c>
      <c r="B45" s="65">
        <f>EOMONTH($E$5,36)</f>
        <v/>
      </c>
      <c r="C45" s="66">
        <f>IF(36=$B$5,F44+D45,$H$4)</f>
        <v/>
      </c>
      <c r="D45" s="69">
        <f>ROUND(F44*$B$4/100*J45/365,2)</f>
        <v/>
      </c>
      <c r="E45" s="71">
        <f>C45-D45</f>
        <v/>
      </c>
      <c r="F45" s="66">
        <f>F44-E45</f>
        <v/>
      </c>
      <c r="G45" s="72">
        <f>ROUND(($B$3+$E$5)/$E$3,2)</f>
        <v/>
      </c>
      <c r="H45" s="72">
        <f>H44-G45</f>
        <v/>
      </c>
      <c r="J45" s="74">
        <f>B45-B44</f>
        <v/>
      </c>
    </row>
    <row r="46" ht="15" customHeight="1" s="54">
      <c r="A46" s="56" t="n">
        <v>37</v>
      </c>
      <c r="B46" s="65">
        <f>EOMONTH($E$5,37)</f>
        <v/>
      </c>
      <c r="C46" s="66">
        <f>IF(37=$B$5,F45+D46,$H$4)</f>
        <v/>
      </c>
      <c r="D46" s="69">
        <f>ROUND(F45*$B$4/100*J46/365,2)</f>
        <v/>
      </c>
      <c r="E46" s="71">
        <f>C46-D46</f>
        <v/>
      </c>
      <c r="F46" s="66">
        <f>F45-E46</f>
        <v/>
      </c>
      <c r="G46" s="72">
        <f>ROUND(($B$3+$E$5)/$E$3,2)</f>
        <v/>
      </c>
      <c r="H46" s="72">
        <f>H45-G46</f>
        <v/>
      </c>
      <c r="J46" s="74">
        <f>B46-B45</f>
        <v/>
      </c>
    </row>
    <row r="47" ht="15" customHeight="1" s="54">
      <c r="A47" s="56" t="n">
        <v>38</v>
      </c>
      <c r="B47" s="65">
        <f>EOMONTH($E$5,38)</f>
        <v/>
      </c>
      <c r="C47" s="66">
        <f>IF(38=$B$5,F46+D47,$H$4)</f>
        <v/>
      </c>
      <c r="D47" s="69">
        <f>ROUND(F46*$B$4/100*J47/365,2)</f>
        <v/>
      </c>
      <c r="E47" s="71">
        <f>C47-D47</f>
        <v/>
      </c>
      <c r="F47" s="66">
        <f>F46-E47</f>
        <v/>
      </c>
      <c r="G47" s="72">
        <f>ROUND(($B$3+$E$5)/$E$3,2)</f>
        <v/>
      </c>
      <c r="H47" s="72">
        <f>H46-G47</f>
        <v/>
      </c>
      <c r="J47" s="74">
        <f>B47-B46</f>
        <v/>
      </c>
    </row>
    <row r="48" ht="15" customHeight="1" s="54">
      <c r="A48" s="56" t="n">
        <v>39</v>
      </c>
      <c r="B48" s="65">
        <f>EOMONTH($E$5,39)</f>
        <v/>
      </c>
      <c r="C48" s="66">
        <f>IF(39=$B$5,F47+D48,$H$4)</f>
        <v/>
      </c>
      <c r="D48" s="69">
        <f>ROUND(F47*$B$4/100*J48/365,2)</f>
        <v/>
      </c>
      <c r="E48" s="71">
        <f>C48-D48</f>
        <v/>
      </c>
      <c r="F48" s="66">
        <f>F47-E48</f>
        <v/>
      </c>
      <c r="G48" s="72">
        <f>ROUND(($B$3+$E$5)/$E$3,2)</f>
        <v/>
      </c>
      <c r="H48" s="72">
        <f>H47-G48</f>
        <v/>
      </c>
      <c r="J48" s="74">
        <f>B48-B47</f>
        <v/>
      </c>
    </row>
    <row r="49" ht="15" customHeight="1" s="54">
      <c r="A49" s="56" t="n">
        <v>40</v>
      </c>
      <c r="B49" s="65">
        <f>EOMONTH($E$5,40)</f>
        <v/>
      </c>
      <c r="C49" s="66">
        <f>IF(40=$B$5,F48+D49,$H$4)</f>
        <v/>
      </c>
      <c r="D49" s="69">
        <f>ROUND(F48*$B$4/100*J49/365,2)</f>
        <v/>
      </c>
      <c r="E49" s="71">
        <f>C49-D49</f>
        <v/>
      </c>
      <c r="F49" s="66">
        <f>F48-E49</f>
        <v/>
      </c>
      <c r="G49" s="72">
        <f>ROUND(($B$3+$E$5)/$E$3,2)</f>
        <v/>
      </c>
      <c r="H49" s="72">
        <f>H48-G49</f>
        <v/>
      </c>
      <c r="J49" s="74">
        <f>B49-B48</f>
        <v/>
      </c>
    </row>
    <row r="50" ht="15" customHeight="1" s="54">
      <c r="A50" s="56" t="n">
        <v>41</v>
      </c>
      <c r="B50" s="65">
        <f>EOMONTH($E$5,41)</f>
        <v/>
      </c>
      <c r="C50" s="66">
        <f>IF(41=$B$5,F49+D50,$H$4)</f>
        <v/>
      </c>
      <c r="D50" s="69">
        <f>ROUND(F49*$B$4/100*J50/365,2)</f>
        <v/>
      </c>
      <c r="E50" s="71">
        <f>C50-D50</f>
        <v/>
      </c>
      <c r="F50" s="66">
        <f>F49-E50</f>
        <v/>
      </c>
      <c r="G50" s="72">
        <f>ROUND(($B$3+$E$5)/$E$3,2)</f>
        <v/>
      </c>
      <c r="H50" s="72">
        <f>H49-G50</f>
        <v/>
      </c>
      <c r="J50" s="74">
        <f>B50-B49</f>
        <v/>
      </c>
    </row>
    <row r="51" ht="15" customHeight="1" s="54">
      <c r="A51" s="56" t="n">
        <v>42</v>
      </c>
      <c r="B51" s="65">
        <f>EOMONTH($E$5,42)</f>
        <v/>
      </c>
      <c r="C51" s="66">
        <f>IF(42=$B$5,F50+D51,$H$4)</f>
        <v/>
      </c>
      <c r="D51" s="69">
        <f>ROUND(F50*$B$4/100*J51/365,2)</f>
        <v/>
      </c>
      <c r="E51" s="71">
        <f>C51-D51</f>
        <v/>
      </c>
      <c r="F51" s="66">
        <f>F50-E51</f>
        <v/>
      </c>
      <c r="G51" s="72">
        <f>ROUND(($B$3+$E$5)/$E$3,2)</f>
        <v/>
      </c>
      <c r="H51" s="72">
        <f>H50-G51</f>
        <v/>
      </c>
      <c r="J51" s="74">
        <f>B51-B50</f>
        <v/>
      </c>
    </row>
    <row r="52" ht="15" customHeight="1" s="54">
      <c r="A52" s="56" t="n">
        <v>43</v>
      </c>
      <c r="B52" s="65">
        <f>EOMONTH($E$5,43)</f>
        <v/>
      </c>
      <c r="C52" s="66">
        <f>IF(43=$B$5,F51+D52,$H$4)</f>
        <v/>
      </c>
      <c r="D52" s="69">
        <f>ROUND(F51*$B$4/100*J52/365,2)</f>
        <v/>
      </c>
      <c r="E52" s="71">
        <f>C52-D52</f>
        <v/>
      </c>
      <c r="F52" s="66">
        <f>F51-E52</f>
        <v/>
      </c>
      <c r="G52" s="72">
        <f>ROUND(($B$3+$E$5)/$E$3,2)</f>
        <v/>
      </c>
      <c r="H52" s="72">
        <f>H51-G52</f>
        <v/>
      </c>
      <c r="J52" s="74">
        <f>B52-B51</f>
        <v/>
      </c>
    </row>
    <row r="53" ht="15" customHeight="1" s="54">
      <c r="A53" s="56" t="n">
        <v>44</v>
      </c>
      <c r="B53" s="65">
        <f>EOMONTH($E$5,44)</f>
        <v/>
      </c>
      <c r="C53" s="66">
        <f>IF(44=$B$5,F52+D53,$H$4)</f>
        <v/>
      </c>
      <c r="D53" s="69">
        <f>ROUND(F52*$B$4/100*J53/365,2)</f>
        <v/>
      </c>
      <c r="E53" s="71">
        <f>C53-D53</f>
        <v/>
      </c>
      <c r="F53" s="66">
        <f>F52-E53</f>
        <v/>
      </c>
      <c r="G53" s="72">
        <f>ROUND(($B$3+$E$5)/$E$3,2)</f>
        <v/>
      </c>
      <c r="H53" s="72">
        <f>H52-G53</f>
        <v/>
      </c>
      <c r="J53" s="74">
        <f>B53-B52</f>
        <v/>
      </c>
    </row>
    <row r="54" ht="15" customHeight="1" s="54">
      <c r="A54" s="56" t="n">
        <v>45</v>
      </c>
      <c r="B54" s="65">
        <f>EOMONTH($E$5,45)</f>
        <v/>
      </c>
      <c r="C54" s="66">
        <f>IF(45=$B$5,F53+D54,$H$4)</f>
        <v/>
      </c>
      <c r="D54" s="69">
        <f>ROUND(F53*$B$4/100*J54/365,2)</f>
        <v/>
      </c>
      <c r="E54" s="71">
        <f>C54-D54</f>
        <v/>
      </c>
      <c r="F54" s="66">
        <f>F53-E54</f>
        <v/>
      </c>
      <c r="G54" s="72">
        <f>ROUND(($B$3+$E$5)/$E$3,2)</f>
        <v/>
      </c>
      <c r="H54" s="72">
        <f>H53-G54</f>
        <v/>
      </c>
      <c r="J54" s="74">
        <f>B54-B53</f>
        <v/>
      </c>
    </row>
    <row r="55" ht="15" customHeight="1" s="54">
      <c r="A55" s="56" t="n">
        <v>46</v>
      </c>
      <c r="B55" s="65">
        <f>EOMONTH($E$5,46)</f>
        <v/>
      </c>
      <c r="C55" s="66">
        <f>IF(46=$B$5,F54+D55,$H$4)</f>
        <v/>
      </c>
      <c r="D55" s="69">
        <f>ROUND(F54*$B$4/100*J55/365,2)</f>
        <v/>
      </c>
      <c r="E55" s="71">
        <f>C55-D55</f>
        <v/>
      </c>
      <c r="F55" s="66">
        <f>F54-E55</f>
        <v/>
      </c>
      <c r="G55" s="72">
        <f>ROUND(($B$3+$E$5)/$E$3,2)</f>
        <v/>
      </c>
      <c r="H55" s="72">
        <f>H54-G55</f>
        <v/>
      </c>
      <c r="J55" s="74">
        <f>B55-B54</f>
        <v/>
      </c>
    </row>
    <row r="56" ht="15" customHeight="1" s="54">
      <c r="A56" s="56" t="n">
        <v>47</v>
      </c>
      <c r="B56" s="65">
        <f>EOMONTH($E$5,47)</f>
        <v/>
      </c>
      <c r="C56" s="66">
        <f>IF(47=$B$5,F55+D56,$H$4)</f>
        <v/>
      </c>
      <c r="D56" s="69">
        <f>ROUND(F55*$B$4/100*J56/365,2)</f>
        <v/>
      </c>
      <c r="E56" s="71">
        <f>C56-D56</f>
        <v/>
      </c>
      <c r="F56" s="66">
        <f>F55-E56</f>
        <v/>
      </c>
      <c r="G56" s="72">
        <f>ROUND(($B$3+$E$5)/$E$3,2)</f>
        <v/>
      </c>
      <c r="H56" s="72">
        <f>H55-G56</f>
        <v/>
      </c>
      <c r="J56" s="74">
        <f>B56-B55</f>
        <v/>
      </c>
    </row>
    <row r="57" ht="15" customHeight="1" s="54">
      <c r="A57" s="56" t="n">
        <v>48</v>
      </c>
      <c r="B57" s="65">
        <f>EOMONTH($E$5,48)</f>
        <v/>
      </c>
      <c r="C57" s="66">
        <f>IF(48=$B$5,F56+D57,$H$4)</f>
        <v/>
      </c>
      <c r="D57" s="69">
        <f>ROUND(F56*$B$4/100*J57/365,2)</f>
        <v/>
      </c>
      <c r="E57" s="71">
        <f>C57-D57</f>
        <v/>
      </c>
      <c r="F57" s="66">
        <f>F56-E57</f>
        <v/>
      </c>
      <c r="G57" s="72">
        <f>ROUND(($B$3+$E$5)/$E$3,2)</f>
        <v/>
      </c>
      <c r="H57" s="72">
        <f>H56-G57</f>
        <v/>
      </c>
      <c r="J57" s="74">
        <f>B57-B56</f>
        <v/>
      </c>
    </row>
    <row r="58" ht="15" customHeight="1" s="54">
      <c r="A58" s="56" t="n">
        <v>49</v>
      </c>
      <c r="B58" s="65">
        <f>EOMONTH($E$5,49)</f>
        <v/>
      </c>
      <c r="C58" s="66">
        <f>IF(49=$B$5,F57+D58,$H$4)</f>
        <v/>
      </c>
      <c r="D58" s="69">
        <f>ROUND(F57*$B$4/100*J58/365,2)</f>
        <v/>
      </c>
      <c r="E58" s="71">
        <f>C58-D58</f>
        <v/>
      </c>
      <c r="F58" s="66">
        <f>F57-E58</f>
        <v/>
      </c>
      <c r="G58" s="72">
        <f>ROUND(($B$3+$E$5)/$E$3,2)</f>
        <v/>
      </c>
      <c r="H58" s="72">
        <f>H57-G58</f>
        <v/>
      </c>
      <c r="J58" s="74">
        <f>B58-B57</f>
        <v/>
      </c>
    </row>
    <row r="59" ht="15" customHeight="1" s="54">
      <c r="A59" s="56" t="n">
        <v>50</v>
      </c>
      <c r="B59" s="65">
        <f>EOMONTH($E$5,50)</f>
        <v/>
      </c>
      <c r="C59" s="66">
        <f>IF(50=$B$5,F58+D59,$H$4)</f>
        <v/>
      </c>
      <c r="D59" s="69">
        <f>ROUND(F58*$B$4/100*J59/365,2)</f>
        <v/>
      </c>
      <c r="E59" s="71">
        <f>C59-D59</f>
        <v/>
      </c>
      <c r="F59" s="66">
        <f>F58-E59</f>
        <v/>
      </c>
      <c r="G59" s="72">
        <f>ROUND(($B$3+$E$5)/$E$3,2)</f>
        <v/>
      </c>
      <c r="H59" s="72">
        <f>H58-G59</f>
        <v/>
      </c>
      <c r="J59" s="74">
        <f>B59-B58</f>
        <v/>
      </c>
    </row>
    <row r="60" ht="15" customHeight="1" s="54">
      <c r="A60" s="56" t="n">
        <v>51</v>
      </c>
      <c r="B60" s="65">
        <f>EOMONTH($E$5,51)</f>
        <v/>
      </c>
      <c r="C60" s="66">
        <f>IF(51=$B$5,F59+D60,$H$4)</f>
        <v/>
      </c>
      <c r="D60" s="69">
        <f>ROUND(F59*$B$4/100*J60/365,2)</f>
        <v/>
      </c>
      <c r="E60" s="71">
        <f>C60-D60</f>
        <v/>
      </c>
      <c r="F60" s="66">
        <f>F59-E60</f>
        <v/>
      </c>
      <c r="G60" s="72">
        <f>ROUND(($B$3+$E$5)/$E$3,2)</f>
        <v/>
      </c>
      <c r="H60" s="72">
        <f>H59-G60</f>
        <v/>
      </c>
      <c r="J60" s="74">
        <f>B60-B59</f>
        <v/>
      </c>
    </row>
    <row r="61" ht="15" customHeight="1" s="54">
      <c r="A61" s="56" t="n">
        <v>52</v>
      </c>
      <c r="B61" s="65">
        <f>EOMONTH($E$5,52)</f>
        <v/>
      </c>
      <c r="C61" s="66">
        <f>IF(52=$B$5,F60+D61,$H$4)</f>
        <v/>
      </c>
      <c r="D61" s="69">
        <f>ROUND(F60*$B$4/100*J61/365,2)</f>
        <v/>
      </c>
      <c r="E61" s="71">
        <f>C61-D61</f>
        <v/>
      </c>
      <c r="F61" s="66">
        <f>F60-E61</f>
        <v/>
      </c>
      <c r="G61" s="72">
        <f>ROUND(($B$3+$E$5)/$E$3,2)</f>
        <v/>
      </c>
      <c r="H61" s="72">
        <f>H60-G61</f>
        <v/>
      </c>
      <c r="J61" s="74">
        <f>B61-B60</f>
        <v/>
      </c>
    </row>
    <row r="62" ht="15" customHeight="1" s="54">
      <c r="A62" s="56" t="n">
        <v>53</v>
      </c>
      <c r="B62" s="65">
        <f>EOMONTH($E$5,53)</f>
        <v/>
      </c>
      <c r="C62" s="66">
        <f>IF(53=$B$5,F61+D62,$H$4)</f>
        <v/>
      </c>
      <c r="D62" s="69">
        <f>ROUND(F61*$B$4/100*J62/365,2)</f>
        <v/>
      </c>
      <c r="E62" s="71">
        <f>C62-D62</f>
        <v/>
      </c>
      <c r="F62" s="66">
        <f>F61-E62</f>
        <v/>
      </c>
      <c r="G62" s="72">
        <f>ROUND(($B$3+$E$5)/$E$3,2)</f>
        <v/>
      </c>
      <c r="H62" s="72">
        <f>H61-G62</f>
        <v/>
      </c>
      <c r="J62" s="74">
        <f>B62-B61</f>
        <v/>
      </c>
    </row>
    <row r="63" ht="15" customHeight="1" s="54">
      <c r="A63" s="56" t="n">
        <v>54</v>
      </c>
      <c r="B63" s="65">
        <f>EOMONTH($E$5,54)</f>
        <v/>
      </c>
      <c r="C63" s="66">
        <f>IF(54=$B$5,F62+D63,$H$4)</f>
        <v/>
      </c>
      <c r="D63" s="69">
        <f>ROUND(F62*$B$4/100*J63/365,2)</f>
        <v/>
      </c>
      <c r="E63" s="71">
        <f>C63-D63</f>
        <v/>
      </c>
      <c r="F63" s="66">
        <f>F62-E63</f>
        <v/>
      </c>
      <c r="G63" s="72">
        <f>ROUND(($B$3+$E$5)/$E$3,2)</f>
        <v/>
      </c>
      <c r="H63" s="72">
        <f>H62-G63</f>
        <v/>
      </c>
      <c r="J63" s="74">
        <f>B63-B62</f>
        <v/>
      </c>
    </row>
    <row r="64" ht="15" customHeight="1" s="54">
      <c r="A64" s="56" t="n">
        <v>55</v>
      </c>
      <c r="B64" s="65">
        <f>EOMONTH($E$5,55)</f>
        <v/>
      </c>
      <c r="C64" s="66">
        <f>IF(55=$B$5,F63+D64,$H$4)</f>
        <v/>
      </c>
      <c r="D64" s="69">
        <f>ROUND(F63*$B$4/100*J64/365,2)</f>
        <v/>
      </c>
      <c r="E64" s="71">
        <f>C64-D64</f>
        <v/>
      </c>
      <c r="F64" s="66">
        <f>F63-E64</f>
        <v/>
      </c>
      <c r="G64" s="72">
        <f>ROUND(($B$3+$E$5)/$E$3,2)</f>
        <v/>
      </c>
      <c r="H64" s="72">
        <f>H63-G64</f>
        <v/>
      </c>
      <c r="J64" s="74">
        <f>B64-B63</f>
        <v/>
      </c>
    </row>
    <row r="65" ht="15" customHeight="1" s="54">
      <c r="A65" s="56" t="n">
        <v>56</v>
      </c>
      <c r="B65" s="65">
        <f>EOMONTH($E$5,56)</f>
        <v/>
      </c>
      <c r="C65" s="66">
        <f>IF(56=$B$5,F64+D65,$H$4)</f>
        <v/>
      </c>
      <c r="D65" s="69">
        <f>ROUND(F64*$B$4/100*J65/365,2)</f>
        <v/>
      </c>
      <c r="E65" s="71">
        <f>C65-D65</f>
        <v/>
      </c>
      <c r="F65" s="66">
        <f>F64-E65</f>
        <v/>
      </c>
      <c r="G65" s="72">
        <f>ROUND(($B$3+$E$5)/$E$3,2)</f>
        <v/>
      </c>
      <c r="H65" s="72">
        <f>H64-G65</f>
        <v/>
      </c>
      <c r="J65" s="74">
        <f>B65-B64</f>
        <v/>
      </c>
    </row>
    <row r="66" ht="15" customHeight="1" s="54">
      <c r="A66" s="56" t="n">
        <v>57</v>
      </c>
      <c r="B66" s="65">
        <f>EOMONTH($E$5,57)</f>
        <v/>
      </c>
      <c r="C66" s="66">
        <f>IF(57=$B$5,F65+D66,$H$4)</f>
        <v/>
      </c>
      <c r="D66" s="69">
        <f>ROUND(F65*$B$4/100*J66/365,2)</f>
        <v/>
      </c>
      <c r="E66" s="71">
        <f>C66-D66</f>
        <v/>
      </c>
      <c r="F66" s="66">
        <f>F65-E66</f>
        <v/>
      </c>
      <c r="G66" s="72">
        <f>ROUND(($B$3+$E$5)/$E$3,2)</f>
        <v/>
      </c>
      <c r="H66" s="72">
        <f>H65-G66</f>
        <v/>
      </c>
      <c r="J66" s="74">
        <f>B66-B65</f>
        <v/>
      </c>
    </row>
    <row r="67" ht="15" customHeight="1" s="54">
      <c r="A67" s="56" t="n">
        <v>58</v>
      </c>
      <c r="B67" s="65">
        <f>EOMONTH($E$5,58)</f>
        <v/>
      </c>
      <c r="C67" s="66">
        <f>IF(58=$B$5,F66+D67,$H$4)</f>
        <v/>
      </c>
      <c r="D67" s="69">
        <f>ROUND(F66*$B$4/100*J67/365,2)</f>
        <v/>
      </c>
      <c r="E67" s="71">
        <f>C67-D67</f>
        <v/>
      </c>
      <c r="F67" s="66">
        <f>F66-E67</f>
        <v/>
      </c>
      <c r="G67" s="72">
        <f>ROUND(($B$3+$E$5)/$E$3,2)</f>
        <v/>
      </c>
      <c r="H67" s="72">
        <f>H66-G67</f>
        <v/>
      </c>
      <c r="J67" s="74">
        <f>B67-B66</f>
        <v/>
      </c>
    </row>
    <row r="68" ht="15" customHeight="1" s="54">
      <c r="A68" s="56" t="n">
        <v>59</v>
      </c>
      <c r="B68" s="65">
        <f>EOMONTH($E$5,59)</f>
        <v/>
      </c>
      <c r="C68" s="66">
        <f>IF(59=$B$5,F67+D68,$H$4)</f>
        <v/>
      </c>
      <c r="D68" s="69">
        <f>ROUND(F67*$B$4/100*J68/365,2)</f>
        <v/>
      </c>
      <c r="E68" s="71">
        <f>C68-D68</f>
        <v/>
      </c>
      <c r="F68" s="66">
        <f>F67-E68</f>
        <v/>
      </c>
      <c r="G68" s="72">
        <f>ROUND(($B$3+$E$5)/$E$3,2)</f>
        <v/>
      </c>
      <c r="H68" s="72">
        <f>H67-G68</f>
        <v/>
      </c>
      <c r="J68" s="74">
        <f>B68-B67</f>
        <v/>
      </c>
    </row>
    <row r="69" ht="15" customHeight="1" s="54">
      <c r="A69" s="56" t="n">
        <v>60</v>
      </c>
      <c r="B69" s="65">
        <f>EOMONTH($E$5,60)</f>
        <v/>
      </c>
      <c r="C69" s="66">
        <f>IF(60=$B$5,F68+D69,$H$4)</f>
        <v/>
      </c>
      <c r="D69" s="69">
        <f>ROUND(F68*$B$4/100*J69/365,2)</f>
        <v/>
      </c>
      <c r="E69" s="71">
        <f>C69-D69</f>
        <v/>
      </c>
      <c r="F69" s="66">
        <f>F68-E69</f>
        <v/>
      </c>
      <c r="G69" s="72">
        <f>ROUND(($B$3+$E$5)/$E$3,2)</f>
        <v/>
      </c>
      <c r="H69" s="72">
        <f>H68-G69</f>
        <v/>
      </c>
      <c r="J69" s="74">
        <f>B69-B68</f>
        <v/>
      </c>
    </row>
  </sheetData>
  <mergeCells count="1"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D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53" min="1" max="1"/>
    <col width="16" customWidth="1" style="53" min="3" max="3"/>
    <col width="64" customWidth="1" style="53" min="4" max="4"/>
  </cols>
  <sheetData>
    <row r="1" ht="15.75" customHeight="1" s="54">
      <c r="A1" s="55" t="inlineStr">
        <is>
          <t>LSO-DEMO-001 — Maturity Profile</t>
        </is>
      </c>
    </row>
    <row r="3" ht="15" customHeight="1" s="54">
      <c r="A3" s="75" t="inlineStr">
        <is>
          <t>GL Classification — Aging</t>
        </is>
      </c>
      <c r="D3" s="76" t="inlineStr">
        <is>
          <t>ที่มา / วิธีคิด (อ้างอิงแท็บ schedule)</t>
        </is>
      </c>
    </row>
    <row r="4" ht="21.75" customHeight="1" s="54">
      <c r="A4" s="56" t="inlineStr">
        <is>
          <t>Current Portion (≤ 12 เดือน)</t>
        </is>
      </c>
      <c r="C4" s="66">
        <f>SUM('Lease Other'!E10:E21)</f>
        <v/>
      </c>
      <c r="D4" s="77" t="inlineStr">
        <is>
          <t>รวม "เงินต้นตัดต่องวด" (PRINCIPAL (ตัดต้น) สีเขียว) งวดที่ 1–12</t>
        </is>
      </c>
    </row>
    <row r="5" ht="15" customHeight="1" s="54">
      <c r="A5" s="56" t="inlineStr">
        <is>
          <t>Non-current (&gt; 12 เดือน)</t>
        </is>
      </c>
      <c r="C5" s="66">
        <f>SUM('Lease Other'!E22:E69)</f>
        <v/>
      </c>
      <c r="D5" s="77" t="inlineStr">
        <is>
          <t>รวม PRINCIPAL (สีเขียว) งวดที่ 13–60  (หรือ Total ลบ Current)</t>
        </is>
      </c>
    </row>
    <row r="6" ht="15" customHeight="1" s="54">
      <c r="A6" s="61" t="inlineStr">
        <is>
          <t>Total Principal</t>
        </is>
      </c>
      <c r="C6" s="62">
        <f>'Lease Other'!$B$3</f>
        <v/>
      </c>
      <c r="D6" s="77" t="inlineStr">
        <is>
          <t>เงินต้นตั้งต้น — ช่อง PRINCIPAL / ROU</t>
        </is>
      </c>
    </row>
    <row r="8" ht="15" customHeight="1" s="54">
      <c r="A8" s="75" t="inlineStr">
        <is>
          <t>ภาระผูกพันในอนาคต (เงินต้น + ดอกเบี้ย ยังไม่คิดลด)</t>
        </is>
      </c>
      <c r="D8" s="76" t="inlineStr">
        <is>
          <t>ที่มา / วิธีคิด</t>
        </is>
      </c>
    </row>
    <row r="9" ht="15" customHeight="1" s="54">
      <c r="A9" s="56" t="inlineStr">
        <is>
          <t>ภายใน 1 ปี</t>
        </is>
      </c>
      <c r="C9" s="66">
        <f>SUMPRODUCT(('Lease Other'!A10:A69&lt;=12)*('Lease Other'!E10:E69+'Lease Other'!D10:D69))</f>
        <v/>
      </c>
      <c r="D9" s="77" t="inlineStr">
        <is>
          <t>รวม PRINCIPAL (สีเขียว) + INTEREST (สีส้ม) งวดที่ 1–12</t>
        </is>
      </c>
    </row>
    <row r="10" ht="15" customHeight="1" s="54">
      <c r="A10" s="56" t="inlineStr">
        <is>
          <t>1 - 5 ปี</t>
        </is>
      </c>
      <c r="C10" s="66">
        <f>SUMPRODUCT(('Lease Other'!A10:A69&gt;12)*('Lease Other'!A10:A69&lt;=60)*('Lease Other'!E10:E69+'Lease Other'!D10:D69))</f>
        <v/>
      </c>
      <c r="D10" s="77" t="inlineStr">
        <is>
          <t>รวม PRINCIPAL + INTEREST งวดที่ 13–60</t>
        </is>
      </c>
    </row>
    <row r="11" ht="15" customHeight="1" s="54">
      <c r="A11" s="56" t="inlineStr">
        <is>
          <t>มากกว่า 5 ปี</t>
        </is>
      </c>
      <c r="C11" s="66">
        <f>SUMPRODUCT(('Lease Other'!A10:A69&gt;60)*('Lease Other'!E10:E69+'Lease Other'!D10:D69))</f>
        <v/>
      </c>
      <c r="D11" s="77" t="inlineStr">
        <is>
          <t>งวดเกิน 60 เดือน — มี 60 งวด จึง = 0</t>
        </is>
      </c>
    </row>
    <row r="12" ht="21.75" customHeight="1" s="54">
      <c r="A12" s="61" t="inlineStr">
        <is>
          <t>Total Future Cash Flow</t>
        </is>
      </c>
      <c r="C12" s="62">
        <f>'Lease Other'!$B$3+'Lease Other'!$H$5</f>
        <v/>
      </c>
      <c r="D12" s="77" t="inlineStr">
        <is>
          <t>ช่อง PRINCIPAL + ดอกเบี้ยรวมทั้งสัญญา (INTEREST สีส้มรวมทุกงวด)</t>
        </is>
      </c>
    </row>
    <row r="14" ht="15" customHeight="1" s="54">
      <c r="A14" s="75" t="inlineStr">
        <is>
          <t>Lease Classification: Finance (net/ROU · TFRS16)</t>
        </is>
      </c>
    </row>
  </sheetData>
  <mergeCells count="1">
    <mergeCell ref="A1:C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K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7" customWidth="1" style="53" min="1" max="1"/>
    <col width="12" customWidth="1" style="53" min="2" max="3"/>
    <col width="6" customWidth="1" style="53" min="4" max="4"/>
    <col width="14" customWidth="1" style="53" min="5" max="6"/>
    <col width="12" customWidth="1" style="53" min="7" max="7"/>
    <col width="13" customWidth="1" style="53" min="8" max="8"/>
    <col width="16" customWidth="1" style="53" min="9" max="9"/>
    <col width="15" customWidth="1" style="53" min="10" max="10"/>
  </cols>
  <sheetData>
    <row r="1" ht="15" customHeight="1" s="54">
      <c r="A1" s="55" t="inlineStr">
        <is>
          <t>FP-DEMO-001 — Schedule Calculate (label ตรงระบบ)</t>
        </is>
      </c>
    </row>
    <row r="3" ht="23.25" customHeight="1" s="54">
      <c r="A3" s="56" t="inlineStr">
        <is>
          <t>PRINCIPAL (รวมรถในสต๊อก)</t>
        </is>
      </c>
      <c r="B3" s="57" t="n">
        <v>5000000</v>
      </c>
      <c r="D3" s="64" t="inlineStr">
        <is>
          <t>Curtailment</t>
        </is>
      </c>
      <c r="E3" s="64" t="inlineStr">
        <is>
          <t>Day</t>
        </is>
      </c>
      <c r="F3" s="64" t="inlineStr">
        <is>
          <t>%</t>
        </is>
      </c>
      <c r="G3" s="64" t="inlineStr">
        <is>
          <t>Due Date</t>
        </is>
      </c>
    </row>
    <row r="4" ht="15" customHeight="1" s="54">
      <c r="A4" s="56" t="inlineStr">
        <is>
          <t>RATE / YEAR (%)</t>
        </is>
      </c>
      <c r="B4" s="59" t="n">
        <v>5</v>
      </c>
      <c r="D4" s="56" t="inlineStr">
        <is>
          <t>Tier 1</t>
        </is>
      </c>
      <c r="E4" s="79" t="n">
        <v>90</v>
      </c>
      <c r="F4" s="79" t="n">
        <v>10</v>
      </c>
      <c r="G4" s="65">
        <f>$B$5+E4</f>
        <v/>
      </c>
    </row>
    <row r="5" ht="15" customHeight="1" s="54">
      <c r="A5" s="56" t="inlineStr">
        <is>
          <t>TRANSACTION DATE</t>
        </is>
      </c>
      <c r="B5" s="63" t="n">
        <v>46266</v>
      </c>
      <c r="D5" s="56" t="inlineStr">
        <is>
          <t>Tier 2</t>
        </is>
      </c>
      <c r="E5" s="79" t="n">
        <v>180</v>
      </c>
      <c r="F5" s="79" t="n">
        <v>10</v>
      </c>
      <c r="G5" s="65">
        <f>$B$5+E5</f>
        <v/>
      </c>
    </row>
    <row r="6" ht="15" customHeight="1" s="54">
      <c r="A6" s="56" t="inlineStr">
        <is>
          <t>MATURITY DATE</t>
        </is>
      </c>
      <c r="B6" s="63" t="n">
        <v>46386</v>
      </c>
      <c r="D6" s="56" t="inlineStr">
        <is>
          <t>Tier 3</t>
        </is>
      </c>
      <c r="E6" s="79" t="n">
        <v>270</v>
      </c>
      <c r="F6" s="79" t="n">
        <v>80</v>
      </c>
      <c r="G6" s="65">
        <f>$B$5+E6</f>
        <v/>
      </c>
    </row>
    <row r="9" ht="23.25" customHeight="1" s="54">
      <c r="A9" s="64" t="inlineStr">
        <is>
          <t>Period</t>
        </is>
      </c>
      <c r="B9" s="64" t="inlineStr">
        <is>
          <t>Start Date</t>
        </is>
      </c>
      <c r="C9" s="64" t="inlineStr">
        <is>
          <t>End Date</t>
        </is>
      </c>
      <c r="D9" s="64" t="inlineStr">
        <is>
          <t>Day</t>
        </is>
      </c>
      <c r="E9" s="64" t="inlineStr">
        <is>
          <t>Due Curtailment</t>
        </is>
      </c>
      <c r="F9" s="64" t="inlineStr">
        <is>
          <t>Curtailment</t>
        </is>
      </c>
      <c r="G9" s="64" t="inlineStr">
        <is>
          <t>Interest Rate</t>
        </is>
      </c>
      <c r="H9" s="64" t="inlineStr">
        <is>
          <t>Interest</t>
        </is>
      </c>
      <c r="I9" s="64" t="inlineStr">
        <is>
          <t>Principal Balance</t>
        </is>
      </c>
      <c r="J9" s="64" t="inlineStr">
        <is>
          <t>Interest Balance</t>
        </is>
      </c>
    </row>
    <row r="10" ht="15" customHeight="1" s="54">
      <c r="A10" s="56" t="n">
        <v>0</v>
      </c>
      <c r="B10" s="65">
        <f>$B$5</f>
        <v/>
      </c>
      <c r="C10" s="65">
        <f>$B$5</f>
        <v/>
      </c>
      <c r="D10" s="56" t="n">
        <v>0</v>
      </c>
      <c r="G10" s="80">
        <f>$B$4</f>
        <v/>
      </c>
      <c r="H10" s="66" t="n">
        <v>0</v>
      </c>
      <c r="I10" s="66">
        <f>$B$3</f>
        <v/>
      </c>
      <c r="J10" s="66">
        <f>ROUND($B$3*$B$4/100*($B$6-$B$5)/365,2)</f>
        <v/>
      </c>
    </row>
    <row r="11" ht="15" customHeight="1" s="54">
      <c r="A11" s="56">
        <f>IF(C10&gt;=$B$6,"",1)</f>
        <v/>
      </c>
      <c r="B11" s="65">
        <f>IF(C10&gt;=$B$6,"",C10)</f>
        <v/>
      </c>
      <c r="C11" s="65">
        <f>IF(C10&gt;=$B$6,"",MIN(EOMONTH($B$5,0),$B$6))</f>
        <v/>
      </c>
      <c r="D11" s="56">
        <f>IF(C10&gt;=$B$6,"",C11-B11)</f>
        <v/>
      </c>
      <c r="E11" s="56">
        <f>IF(C10&gt;=$B$6,"",IF(SUMPRODUCT(($G$4:$G$6&gt;B11)*($G$4:$G$6&lt;=C11)*$F$4:$F$6)=0,"",SUMPRODUCT(($G$4:$G$6&gt;B11)*($G$4:$G$6&lt;=C11)*$F$4:$F$6)&amp;"%"))</f>
        <v/>
      </c>
      <c r="F11" s="71">
        <f>IF(C10&gt;=$B$6,"",ROUND($B$3*SUMPRODUCT(($G$4:$G$6&gt;B11)*($G$4:$G$6&lt;=C11)*$F$4:$F$6)/100,2))</f>
        <v/>
      </c>
      <c r="G11" s="80">
        <f>IF(C10&gt;=$B$6,"",$B$4)</f>
        <v/>
      </c>
      <c r="H11" s="69">
        <f>IF(C10&gt;=$B$6,"",ROUND(I10*$B$4/100*D11/365,2))</f>
        <v/>
      </c>
      <c r="I11" s="66">
        <f>IF(C10&gt;=$B$6,"",I10-F11)</f>
        <v/>
      </c>
      <c r="J11" s="73">
        <f>IF(C10&gt;=$B$6,"",MAX(0,J10-H11))</f>
        <v/>
      </c>
    </row>
    <row r="12" ht="15" customHeight="1" s="54">
      <c r="A12" s="56">
        <f>IF(C11&gt;=$B$6,"",2)</f>
        <v/>
      </c>
      <c r="B12" s="65">
        <f>IF(C11&gt;=$B$6,"",C11)</f>
        <v/>
      </c>
      <c r="C12" s="65">
        <f>IF(C11&gt;=$B$6,"",MIN(EOMONTH($B$5,1),$B$6))</f>
        <v/>
      </c>
      <c r="D12" s="56">
        <f>IF(C11&gt;=$B$6,"",C12-B12)</f>
        <v/>
      </c>
      <c r="E12" s="56">
        <f>IF(C11&gt;=$B$6,"",IF(SUMPRODUCT(($G$4:$G$6&gt;B12)*($G$4:$G$6&lt;=C12)*$F$4:$F$6)=0,"",SUMPRODUCT(($G$4:$G$6&gt;B12)*($G$4:$G$6&lt;=C12)*$F$4:$F$6)&amp;"%"))</f>
        <v/>
      </c>
      <c r="F12" s="71">
        <f>IF(C11&gt;=$B$6,"",ROUND($B$3*SUMPRODUCT(($G$4:$G$6&gt;B12)*($G$4:$G$6&lt;=C12)*$F$4:$F$6)/100,2))</f>
        <v/>
      </c>
      <c r="G12" s="80">
        <f>IF(C11&gt;=$B$6,"",$B$4)</f>
        <v/>
      </c>
      <c r="H12" s="69">
        <f>IF(C11&gt;=$B$6,"",ROUND(I11*$B$4/100*D12/365,2))</f>
        <v/>
      </c>
      <c r="I12" s="66">
        <f>IF(C11&gt;=$B$6,"",I11-F12)</f>
        <v/>
      </c>
      <c r="J12" s="73">
        <f>IF(C11&gt;=$B$6,"",MAX(0,J11-H12))</f>
        <v/>
      </c>
    </row>
    <row r="13" ht="15" customHeight="1" s="54">
      <c r="A13" s="56">
        <f>IF(C12&gt;=$B$6,"",3)</f>
        <v/>
      </c>
      <c r="B13" s="65">
        <f>IF(C12&gt;=$B$6,"",C12)</f>
        <v/>
      </c>
      <c r="C13" s="65">
        <f>IF(C12&gt;=$B$6,"",MIN(EOMONTH($B$5,2),$B$6))</f>
        <v/>
      </c>
      <c r="D13" s="56">
        <f>IF(C12&gt;=$B$6,"",C13-B13)</f>
        <v/>
      </c>
      <c r="E13" s="56">
        <f>IF(C12&gt;=$B$6,"",IF(SUMPRODUCT(($G$4:$G$6&gt;B13)*($G$4:$G$6&lt;=C13)*$F$4:$F$6)=0,"",SUMPRODUCT(($G$4:$G$6&gt;B13)*($G$4:$G$6&lt;=C13)*$F$4:$F$6)&amp;"%"))</f>
        <v/>
      </c>
      <c r="F13" s="71">
        <f>IF(C12&gt;=$B$6,"",ROUND($B$3*SUMPRODUCT(($G$4:$G$6&gt;B13)*($G$4:$G$6&lt;=C13)*$F$4:$F$6)/100,2))</f>
        <v/>
      </c>
      <c r="G13" s="80">
        <f>IF(C12&gt;=$B$6,"",$B$4)</f>
        <v/>
      </c>
      <c r="H13" s="69">
        <f>IF(C12&gt;=$B$6,"",ROUND(I12*$B$4/100*D13/365,2))</f>
        <v/>
      </c>
      <c r="I13" s="66">
        <f>IF(C12&gt;=$B$6,"",I12-F13)</f>
        <v/>
      </c>
      <c r="J13" s="73">
        <f>IF(C12&gt;=$B$6,"",MAX(0,J12-H13))</f>
        <v/>
      </c>
    </row>
    <row r="14" ht="15" customHeight="1" s="54">
      <c r="A14" s="56">
        <f>IF(C13&gt;=$B$6,"",4)</f>
        <v/>
      </c>
      <c r="B14" s="65">
        <f>IF(C13&gt;=$B$6,"",C13)</f>
        <v/>
      </c>
      <c r="C14" s="65">
        <f>IF(C13&gt;=$B$6,"",MIN(EOMONTH($B$5,3),$B$6))</f>
        <v/>
      </c>
      <c r="D14" s="56">
        <f>IF(C13&gt;=$B$6,"",C14-B14)</f>
        <v/>
      </c>
      <c r="E14" s="56">
        <f>IF(C13&gt;=$B$6,"",IF(SUMPRODUCT(($G$4:$G$6&gt;B14)*($G$4:$G$6&lt;=C14)*$F$4:$F$6)=0,"",SUMPRODUCT(($G$4:$G$6&gt;B14)*($G$4:$G$6&lt;=C14)*$F$4:$F$6)&amp;"%"))</f>
        <v/>
      </c>
      <c r="F14" s="71">
        <f>IF(C13&gt;=$B$6,"",ROUND($B$3*SUMPRODUCT(($G$4:$G$6&gt;B14)*($G$4:$G$6&lt;=C14)*$F$4:$F$6)/100,2))</f>
        <v/>
      </c>
      <c r="G14" s="80">
        <f>IF(C13&gt;=$B$6,"",$B$4)</f>
        <v/>
      </c>
      <c r="H14" s="69">
        <f>IF(C13&gt;=$B$6,"",ROUND(I13*$B$4/100*D14/365,2))</f>
        <v/>
      </c>
      <c r="I14" s="66">
        <f>IF(C13&gt;=$B$6,"",I13-F14)</f>
        <v/>
      </c>
      <c r="J14" s="73">
        <f>IF(C13&gt;=$B$6,"",MAX(0,J13-H14))</f>
        <v/>
      </c>
    </row>
    <row r="15" ht="15" customHeight="1" s="54">
      <c r="A15" s="56">
        <f>IF(C14&gt;=$B$6,"",5)</f>
        <v/>
      </c>
      <c r="B15" s="65">
        <f>IF(C14&gt;=$B$6,"",C14)</f>
        <v/>
      </c>
      <c r="C15" s="65">
        <f>IF(C14&gt;=$B$6,"",MIN(EOMONTH($B$5,4),$B$6))</f>
        <v/>
      </c>
      <c r="D15" s="56">
        <f>IF(C14&gt;=$B$6,"",C15-B15)</f>
        <v/>
      </c>
      <c r="E15" s="56">
        <f>IF(C14&gt;=$B$6,"",IF(SUMPRODUCT(($G$4:$G$6&gt;B15)*($G$4:$G$6&lt;=C15)*$F$4:$F$6)=0,"",SUMPRODUCT(($G$4:$G$6&gt;B15)*($G$4:$G$6&lt;=C15)*$F$4:$F$6)&amp;"%"))</f>
        <v/>
      </c>
      <c r="F15" s="71">
        <f>IF(C14&gt;=$B$6,"",ROUND($B$3*SUMPRODUCT(($G$4:$G$6&gt;B15)*($G$4:$G$6&lt;=C15)*$F$4:$F$6)/100,2))</f>
        <v/>
      </c>
      <c r="G15" s="80">
        <f>IF(C14&gt;=$B$6,"",$B$4)</f>
        <v/>
      </c>
      <c r="H15" s="69">
        <f>IF(C14&gt;=$B$6,"",ROUND(I14*$B$4/100*D15/365,2))</f>
        <v/>
      </c>
      <c r="I15" s="66">
        <f>IF(C14&gt;=$B$6,"",I14-F15)</f>
        <v/>
      </c>
      <c r="J15" s="73">
        <f>IF(C14&gt;=$B$6,"",MAX(0,J14-H15))</f>
        <v/>
      </c>
    </row>
    <row r="16" ht="15" customHeight="1" s="54">
      <c r="A16" s="56">
        <f>IF(C15&gt;=$B$6,"",6)</f>
        <v/>
      </c>
      <c r="B16" s="65">
        <f>IF(C15&gt;=$B$6,"",C15)</f>
        <v/>
      </c>
      <c r="C16" s="65">
        <f>IF(C15&gt;=$B$6,"",MIN(EOMONTH($B$5,5),$B$6))</f>
        <v/>
      </c>
      <c r="D16" s="56">
        <f>IF(C15&gt;=$B$6,"",C16-B16)</f>
        <v/>
      </c>
      <c r="E16" s="56">
        <f>IF(C15&gt;=$B$6,"",IF(SUMPRODUCT(($G$4:$G$6&gt;B16)*($G$4:$G$6&lt;=C16)*$F$4:$F$6)=0,"",SUMPRODUCT(($G$4:$G$6&gt;B16)*($G$4:$G$6&lt;=C16)*$F$4:$F$6)&amp;"%"))</f>
        <v/>
      </c>
      <c r="F16" s="71">
        <f>IF(C15&gt;=$B$6,"",ROUND($B$3*SUMPRODUCT(($G$4:$G$6&gt;B16)*($G$4:$G$6&lt;=C16)*$F$4:$F$6)/100,2))</f>
        <v/>
      </c>
      <c r="G16" s="80">
        <f>IF(C15&gt;=$B$6,"",$B$4)</f>
        <v/>
      </c>
      <c r="H16" s="69">
        <f>IF(C15&gt;=$B$6,"",ROUND(I15*$B$4/100*D16/365,2))</f>
        <v/>
      </c>
      <c r="I16" s="66">
        <f>IF(C15&gt;=$B$6,"",I15-F16)</f>
        <v/>
      </c>
      <c r="J16" s="73">
        <f>IF(C15&gt;=$B$6,"",MAX(0,J15-H16))</f>
        <v/>
      </c>
    </row>
    <row r="17" ht="15" customHeight="1" s="54">
      <c r="A17" s="56">
        <f>IF(C16&gt;=$B$6,"",7)</f>
        <v/>
      </c>
      <c r="B17" s="65">
        <f>IF(C16&gt;=$B$6,"",C16)</f>
        <v/>
      </c>
      <c r="C17" s="65">
        <f>IF(C16&gt;=$B$6,"",MIN(EOMONTH($B$5,6),$B$6))</f>
        <v/>
      </c>
      <c r="D17" s="56">
        <f>IF(C16&gt;=$B$6,"",C17-B17)</f>
        <v/>
      </c>
      <c r="E17" s="56">
        <f>IF(C16&gt;=$B$6,"",IF(SUMPRODUCT(($G$4:$G$6&gt;B17)*($G$4:$G$6&lt;=C17)*$F$4:$F$6)=0,"",SUMPRODUCT(($G$4:$G$6&gt;B17)*($G$4:$G$6&lt;=C17)*$F$4:$F$6)&amp;"%"))</f>
        <v/>
      </c>
      <c r="F17" s="71">
        <f>IF(C16&gt;=$B$6,"",ROUND($B$3*SUMPRODUCT(($G$4:$G$6&gt;B17)*($G$4:$G$6&lt;=C17)*$F$4:$F$6)/100,2))</f>
        <v/>
      </c>
      <c r="G17" s="80">
        <f>IF(C16&gt;=$B$6,"",$B$4)</f>
        <v/>
      </c>
      <c r="H17" s="69">
        <f>IF(C16&gt;=$B$6,"",ROUND(I16*$B$4/100*D17/365,2))</f>
        <v/>
      </c>
      <c r="I17" s="66">
        <f>IF(C16&gt;=$B$6,"",I16-F17)</f>
        <v/>
      </c>
      <c r="J17" s="73">
        <f>IF(C16&gt;=$B$6,"",MAX(0,J16-H17))</f>
        <v/>
      </c>
    </row>
    <row r="18" ht="15" customHeight="1" s="54">
      <c r="A18" s="56">
        <f>IF(C17&gt;=$B$6,"",8)</f>
        <v/>
      </c>
      <c r="B18" s="65">
        <f>IF(C17&gt;=$B$6,"",C17)</f>
        <v/>
      </c>
      <c r="C18" s="65">
        <f>IF(C17&gt;=$B$6,"",MIN(EOMONTH($B$5,7),$B$6))</f>
        <v/>
      </c>
      <c r="D18" s="56">
        <f>IF(C17&gt;=$B$6,"",C18-B18)</f>
        <v/>
      </c>
      <c r="E18" s="56">
        <f>IF(C17&gt;=$B$6,"",IF(SUMPRODUCT(($G$4:$G$6&gt;B18)*($G$4:$G$6&lt;=C18)*$F$4:$F$6)=0,"",SUMPRODUCT(($G$4:$G$6&gt;B18)*($G$4:$G$6&lt;=C18)*$F$4:$F$6)&amp;"%"))</f>
        <v/>
      </c>
      <c r="F18" s="71">
        <f>IF(C17&gt;=$B$6,"",ROUND($B$3*SUMPRODUCT(($G$4:$G$6&gt;B18)*($G$4:$G$6&lt;=C18)*$F$4:$F$6)/100,2))</f>
        <v/>
      </c>
      <c r="G18" s="80">
        <f>IF(C17&gt;=$B$6,"",$B$4)</f>
        <v/>
      </c>
      <c r="H18" s="69">
        <f>IF(C17&gt;=$B$6,"",ROUND(I17*$B$4/100*D18/365,2))</f>
        <v/>
      </c>
      <c r="I18" s="66">
        <f>IF(C17&gt;=$B$6,"",I17-F18)</f>
        <v/>
      </c>
      <c r="J18" s="73">
        <f>IF(C17&gt;=$B$6,"",MAX(0,J17-H18))</f>
        <v/>
      </c>
    </row>
    <row r="19" ht="15" customHeight="1" s="54">
      <c r="F19" s="62">
        <f>SUM(F11:F18)</f>
        <v/>
      </c>
      <c r="G19" s="61" t="inlineStr">
        <is>
          <t>รวม</t>
        </is>
      </c>
      <c r="H19" s="62">
        <f>SUM(H11:H18)</f>
        <v/>
      </c>
    </row>
    <row r="21" ht="15" customHeight="1" s="54">
      <c r="A21" s="81" t="inlineStr">
        <is>
          <t>label ตรงระบบ: Period · Start/End Date · Day · Due Curtailment (%) · Curtailment (บาท) · Interest Rate · Interest · Principal Balance · Interest Balance · (ระบบมี JE ด้วย)</t>
        </is>
      </c>
    </row>
  </sheetData>
  <mergeCells count="2">
    <mergeCell ref="A1:K1"/>
    <mergeCell ref="A21:J2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H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" customWidth="1" style="53" min="1" max="1"/>
    <col width="8" customWidth="1" style="53" min="2" max="2"/>
    <col width="13" customWidth="1" style="53" min="3" max="3"/>
    <col width="15" customWidth="1" style="53" min="4" max="4"/>
    <col width="12" customWidth="1" style="53" min="5" max="5"/>
    <col width="17" customWidth="1" style="53" min="6" max="6"/>
    <col width="10" customWidth="1" style="53" min="7" max="7"/>
    <col width="12" customWidth="1" style="53" min="8" max="8"/>
  </cols>
  <sheetData>
    <row r="1" ht="15" customHeight="1" s="54">
      <c r="A1" s="55" t="inlineStr">
        <is>
          <t>OD-DEMO-001 — Bank Transaction (ข้อมูลต้นทาง feed เข้า Schedule Calculate)</t>
        </is>
      </c>
    </row>
    <row r="3" ht="15" customHeight="1" s="54">
      <c r="A3" s="64" t="inlineStr">
        <is>
          <t>DATE</t>
        </is>
      </c>
      <c r="B3" s="64" t="inlineStr">
        <is>
          <t>TIME</t>
        </is>
      </c>
      <c r="C3" s="64" t="inlineStr">
        <is>
          <t>TXN CODE</t>
        </is>
      </c>
      <c r="D3" s="64" t="inlineStr">
        <is>
          <t>DEBIT</t>
        </is>
      </c>
      <c r="E3" s="64" t="inlineStr">
        <is>
          <t>CREDIT</t>
        </is>
      </c>
      <c r="F3" s="64" t="inlineStr">
        <is>
          <t>BALANCE</t>
        </is>
      </c>
      <c r="G3" s="64" t="inlineStr">
        <is>
          <t>SOURCE</t>
        </is>
      </c>
      <c r="H3" s="64" t="inlineStr">
        <is>
          <t>STATEMENT</t>
        </is>
      </c>
    </row>
    <row r="4" ht="15" customHeight="1" s="54">
      <c r="A4" s="82" t="n">
        <v>46203</v>
      </c>
      <c r="B4" s="79" t="inlineStr">
        <is>
          <t>10:15</t>
        </is>
      </c>
      <c r="C4" s="79" t="inlineStr">
        <is>
          <t>TRANSFER</t>
        </is>
      </c>
      <c r="D4" s="83" t="n">
        <v>1017123.29</v>
      </c>
      <c r="E4" s="84" t="inlineStr">
        <is>
          <t>—</t>
        </is>
      </c>
      <c r="F4" s="85" t="n">
        <v>-1017123.29</v>
      </c>
      <c r="G4" s="56" t="inlineStr">
        <is>
          <t>Manual</t>
        </is>
      </c>
      <c r="H4" s="86" t="inlineStr">
        <is>
          <t>2026-07</t>
        </is>
      </c>
    </row>
    <row r="5" ht="15" customHeight="1" s="54">
      <c r="A5" s="82" t="n">
        <v>46239</v>
      </c>
      <c r="B5" s="79" t="inlineStr">
        <is>
          <t>—</t>
        </is>
      </c>
      <c r="C5" s="79" t="inlineStr">
        <is>
          <t>—</t>
        </is>
      </c>
      <c r="D5" s="83" t="n">
        <v>92958.89999999999</v>
      </c>
      <c r="E5" s="84" t="inlineStr">
        <is>
          <t>—</t>
        </is>
      </c>
      <c r="F5" s="87" t="n">
        <v>0</v>
      </c>
      <c r="G5" s="56" t="inlineStr">
        <is>
          <t>Manual</t>
        </is>
      </c>
      <c r="H5" s="86" t="inlineStr">
        <is>
          <t>2026-08</t>
        </is>
      </c>
    </row>
    <row r="6" ht="15" customHeight="1" s="54">
      <c r="A6" s="82" t="n">
        <v>46244</v>
      </c>
      <c r="B6" s="79" t="inlineStr">
        <is>
          <t>—</t>
        </is>
      </c>
      <c r="C6" s="79" t="inlineStr">
        <is>
          <t>—</t>
        </is>
      </c>
      <c r="D6" s="83" t="n">
        <v>18750</v>
      </c>
      <c r="E6" s="84" t="inlineStr">
        <is>
          <t>—</t>
        </is>
      </c>
      <c r="F6" s="87" t="n">
        <v>0</v>
      </c>
      <c r="G6" s="56" t="inlineStr">
        <is>
          <t>Manual</t>
        </is>
      </c>
      <c r="H6" s="86" t="inlineStr">
        <is>
          <t>2026-08</t>
        </is>
      </c>
    </row>
    <row r="7" ht="15" customHeight="1" s="54">
      <c r="A7" s="82" t="n">
        <v>46263</v>
      </c>
      <c r="B7" s="79" t="inlineStr">
        <is>
          <t>10:20</t>
        </is>
      </c>
      <c r="C7" s="79" t="inlineStr">
        <is>
          <t>TRANSFER</t>
        </is>
      </c>
      <c r="D7" s="83" t="n">
        <v>2002286.3</v>
      </c>
      <c r="E7" s="84" t="inlineStr">
        <is>
          <t>—</t>
        </is>
      </c>
      <c r="F7" s="85" t="n">
        <v>-3019409.59</v>
      </c>
      <c r="G7" s="56" t="inlineStr">
        <is>
          <t>Manual</t>
        </is>
      </c>
      <c r="H7" s="86" t="inlineStr">
        <is>
          <t>2026-07</t>
        </is>
      </c>
    </row>
    <row r="8" ht="15" customHeight="1" s="54">
      <c r="A8" s="82" t="n">
        <v>46323</v>
      </c>
      <c r="B8" s="79" t="inlineStr">
        <is>
          <t>10:25</t>
        </is>
      </c>
      <c r="C8" s="79" t="inlineStr">
        <is>
          <t>TRANSFER</t>
        </is>
      </c>
      <c r="D8" s="83" t="n">
        <v>3313923.29</v>
      </c>
      <c r="E8" s="84" t="inlineStr">
        <is>
          <t>—</t>
        </is>
      </c>
      <c r="F8" s="85" t="n">
        <v>-6333332.88</v>
      </c>
      <c r="G8" s="56" t="inlineStr">
        <is>
          <t>Manual</t>
        </is>
      </c>
      <c r="H8" s="86" t="inlineStr">
        <is>
          <t>2026-07</t>
        </is>
      </c>
    </row>
    <row r="10" ht="11.25" customHeight="1" s="54">
      <c r="A10" s="81" t="inlineStr">
        <is>
          <t>หมายเหตุ: BALANCE = ยอดคงเหลือ ณ รายการนั้น (Manual/Import) · ยอดติดลบ = เบิกเกิน (overdraft) → ยอดนี้ถูกส่งเข้าคอลัมน์ ENDING BALANCE ในแท็บ OD Schedule เพื่อคิดดอกเบี้ย</t>
        </is>
      </c>
    </row>
  </sheetData>
  <mergeCells count="2">
    <mergeCell ref="A1:H1"/>
    <mergeCell ref="A10:H10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F1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" customWidth="1" style="53" min="1" max="1"/>
    <col width="7" customWidth="1" style="53" min="2" max="2"/>
    <col width="18" customWidth="1" style="53" min="3" max="3"/>
    <col width="13" customWidth="1" style="53" min="4" max="4"/>
    <col width="14" customWidth="1" style="53" min="5" max="6"/>
  </cols>
  <sheetData>
    <row r="1" ht="15" customHeight="1" s="54">
      <c r="A1" s="55" t="inlineStr">
        <is>
          <t>OD-DEMO-001 — Schedule Calculate (Overdraft · ดอกเบี้ยรายวัน)</t>
        </is>
      </c>
    </row>
    <row r="3" ht="15" customHeight="1" s="54">
      <c r="A3" s="56" t="inlineStr">
        <is>
          <t>INTEREST RATE / YEAR (%)</t>
        </is>
      </c>
      <c r="B3" s="88" t="n">
        <v>6</v>
      </c>
    </row>
    <row r="4" ht="15" customHeight="1" s="54">
      <c r="A4" s="56" t="inlineStr">
        <is>
          <t>FACILITY LIMIT (วงเงิน)</t>
        </is>
      </c>
      <c r="B4" s="57" t="n">
        <v>3000000</v>
      </c>
    </row>
    <row r="6" ht="23.25" customHeight="1" s="54">
      <c r="A6" s="64" t="inlineStr">
        <is>
          <t>DATE</t>
        </is>
      </c>
      <c r="B6" s="64" t="inlineStr">
        <is>
          <t>DAYS</t>
        </is>
      </c>
      <c r="C6" s="64" t="inlineStr">
        <is>
          <t>ENDING BALANCE</t>
        </is>
      </c>
      <c r="D6" s="64" t="inlineStr">
        <is>
          <t>INTEREST RATE</t>
        </is>
      </c>
      <c r="E6" s="64" t="inlineStr">
        <is>
          <t>INTEREST</t>
        </is>
      </c>
      <c r="F6" s="64" t="inlineStr">
        <is>
          <t>STATUS</t>
        </is>
      </c>
    </row>
    <row r="7" ht="15" customHeight="1" s="54">
      <c r="A7" s="82" t="n">
        <v>46203</v>
      </c>
      <c r="B7" s="79" t="n">
        <v>1</v>
      </c>
      <c r="C7" s="89" t="n">
        <v>-1017123.29</v>
      </c>
      <c r="D7" s="80">
        <f>$B$3</f>
        <v/>
      </c>
      <c r="E7" s="69">
        <f>ROUND(IF(C7&lt;0,-C7*$B$3/100*B7/365,0),2)</f>
        <v/>
      </c>
      <c r="F7" s="56">
        <f>IF(C7&gt;=0,"—",IF(-C7&gt;$B$4,"Over Limit","Within Limit"))</f>
        <v/>
      </c>
    </row>
    <row r="8" ht="15" customHeight="1" s="54">
      <c r="A8" s="82" t="n">
        <v>46239</v>
      </c>
      <c r="B8" s="79" t="n">
        <v>5</v>
      </c>
      <c r="C8" s="83" t="n">
        <v>0</v>
      </c>
      <c r="D8" s="80">
        <f>$B$3</f>
        <v/>
      </c>
      <c r="E8" s="69">
        <f>ROUND(IF(C8&lt;0,-C8*$B$3/100*B8/365,0),2)</f>
        <v/>
      </c>
      <c r="F8" s="56">
        <f>IF(C8&gt;=0,"—",IF(-C8&gt;$B$4,"Over Limit","Within Limit"))</f>
        <v/>
      </c>
    </row>
    <row r="9" ht="15" customHeight="1" s="54">
      <c r="A9" s="82" t="n">
        <v>46244</v>
      </c>
      <c r="B9" s="79" t="n">
        <v>19</v>
      </c>
      <c r="C9" s="83" t="n">
        <v>0</v>
      </c>
      <c r="D9" s="80">
        <f>$B$3</f>
        <v/>
      </c>
      <c r="E9" s="69">
        <f>ROUND(IF(C9&lt;0,-C9*$B$3/100*B9/365,0),2)</f>
        <v/>
      </c>
      <c r="F9" s="56">
        <f>IF(C9&gt;=0,"—",IF(-C9&gt;$B$4,"Over Limit","Within Limit"))</f>
        <v/>
      </c>
    </row>
    <row r="10" ht="15" customHeight="1" s="54">
      <c r="A10" s="82" t="n">
        <v>46263</v>
      </c>
      <c r="B10" s="79" t="n">
        <v>3</v>
      </c>
      <c r="C10" s="89" t="n">
        <v>-3019409.59</v>
      </c>
      <c r="D10" s="80">
        <f>$B$3</f>
        <v/>
      </c>
      <c r="E10" s="69">
        <f>ROUND(IF(C10&lt;0,-C10*$B$3/100*B10/365,0),2)</f>
        <v/>
      </c>
      <c r="F10" s="56">
        <f>IF(C10&gt;=0,"—",IF(-C10&gt;$B$4,"Over Limit","Within Limit"))</f>
        <v/>
      </c>
    </row>
    <row r="11" ht="15" customHeight="1" s="54">
      <c r="A11" s="82" t="n">
        <v>46323</v>
      </c>
      <c r="B11" s="79" t="n">
        <v>1</v>
      </c>
      <c r="C11" s="89" t="n">
        <v>-6333332.88</v>
      </c>
      <c r="D11" s="80">
        <f>$B$3</f>
        <v/>
      </c>
      <c r="E11" s="69">
        <f>ROUND(IF(C11&lt;0,-C11*$B$3/100*B11/365,0),2)</f>
        <v/>
      </c>
      <c r="F11" s="56">
        <f>IF(C11&gt;=0,"—",IF(-C11&gt;$B$4,"Over Limit","Within Limit"))</f>
        <v/>
      </c>
    </row>
    <row r="12" ht="15" customHeight="1" s="54">
      <c r="D12" s="90" t="inlineStr">
        <is>
          <t>Interest Expense (Outstanding)</t>
        </is>
      </c>
      <c r="E12" s="62">
        <f>SUM(E7:E11)</f>
        <v/>
      </c>
    </row>
    <row r="13" ht="15" customHeight="1" s="54">
      <c r="D13" s="90" t="inlineStr">
        <is>
          <t>Ending Balance</t>
        </is>
      </c>
      <c r="E13" s="68">
        <f>C11</f>
        <v/>
      </c>
    </row>
    <row r="14" ht="15" customHeight="1" s="54">
      <c r="D14" s="90" t="inlineStr">
        <is>
          <t>Total Ending Balance</t>
        </is>
      </c>
      <c r="E14" s="91">
        <f>E13-E12</f>
        <v/>
      </c>
    </row>
    <row r="16" ht="11.25" customHeight="1" s="54">
      <c r="A16" s="81" t="inlineStr">
        <is>
          <t>สูตร: INTEREST = |ยอดคงเหลือติดลบ| × RATE% ÷ 100 × DAYS ÷ 365 (คิดเฉพาะวันที่ยอดติดลบ = เบิกเกิน) · STATUS: |ยอด| &gt; วงเงิน = Over Limit · Total Ending Balance = Ending Balance − Interest</t>
        </is>
      </c>
    </row>
  </sheetData>
  <mergeCells count="2">
    <mergeCell ref="A16:F16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I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8" customWidth="1" style="53" min="1" max="1"/>
    <col width="12" customWidth="1" style="53" min="2" max="3"/>
    <col width="6" customWidth="1" style="53" min="4" max="4"/>
    <col width="13" customWidth="1" style="53" min="5" max="6"/>
    <col width="17" customWidth="1" style="53" min="7" max="7"/>
    <col width="16" customWidth="1" style="53" min="8" max="8"/>
  </cols>
  <sheetData>
    <row r="1" ht="15" customHeight="1" s="54">
      <c r="A1" s="55" t="inlineStr">
        <is>
          <t>TR-DEMO-001 — Schedule Calculate (Trust Receipt · bullet ไม่มี curtailment)</t>
        </is>
      </c>
    </row>
    <row r="3" ht="15" customHeight="1" s="54">
      <c r="A3" s="56" t="inlineStr">
        <is>
          <t>PRINCIPAL</t>
        </is>
      </c>
      <c r="B3" s="57" t="n">
        <v>3500000</v>
      </c>
    </row>
    <row r="4" ht="15" customHeight="1" s="54">
      <c r="A4" s="56" t="inlineStr">
        <is>
          <t>INTEREST RATE / YEAR (%)</t>
        </is>
      </c>
      <c r="B4" s="88" t="n">
        <v>5</v>
      </c>
    </row>
    <row r="5" ht="15" customHeight="1" s="54">
      <c r="A5" s="56" t="inlineStr">
        <is>
          <t>TRANSACTION DATE</t>
        </is>
      </c>
      <c r="B5" s="63" t="n">
        <v>46266</v>
      </c>
    </row>
    <row r="6" ht="15" customHeight="1" s="54">
      <c r="A6" s="56" t="inlineStr">
        <is>
          <t>MATURITY DATE</t>
        </is>
      </c>
      <c r="B6" s="63" t="n">
        <v>46356</v>
      </c>
    </row>
    <row r="8" ht="23.25" customHeight="1" s="54">
      <c r="A8" s="64" t="inlineStr">
        <is>
          <t>PERIOD</t>
        </is>
      </c>
      <c r="B8" s="64" t="inlineStr">
        <is>
          <t>START DATE</t>
        </is>
      </c>
      <c r="C8" s="64" t="inlineStr">
        <is>
          <t>END DATE</t>
        </is>
      </c>
      <c r="D8" s="64" t="inlineStr">
        <is>
          <t>DAY</t>
        </is>
      </c>
      <c r="E8" s="64" t="inlineStr">
        <is>
          <t>INTEREST RATE</t>
        </is>
      </c>
      <c r="F8" s="64" t="inlineStr">
        <is>
          <t>INTEREST</t>
        </is>
      </c>
      <c r="G8" s="64" t="inlineStr">
        <is>
          <t>PRINCIPAL BALANCE</t>
        </is>
      </c>
      <c r="H8" s="64" t="inlineStr">
        <is>
          <t>INTEREST BALANCE</t>
        </is>
      </c>
    </row>
    <row r="9" ht="15" customHeight="1" s="54">
      <c r="A9" s="56" t="n">
        <v>0</v>
      </c>
      <c r="B9" s="65">
        <f>$B$5</f>
        <v/>
      </c>
      <c r="C9" s="65">
        <f>$B$5</f>
        <v/>
      </c>
      <c r="D9" s="56" t="inlineStr">
        <is>
          <t>—</t>
        </is>
      </c>
      <c r="E9" s="56" t="inlineStr">
        <is>
          <t>—</t>
        </is>
      </c>
      <c r="F9" s="56" t="inlineStr">
        <is>
          <t>—</t>
        </is>
      </c>
      <c r="G9" s="66">
        <f>$B$3</f>
        <v/>
      </c>
      <c r="H9" s="66">
        <f>ROUND($B$3*$B$4/100*($B$6-$B$5)/365,2)</f>
        <v/>
      </c>
    </row>
    <row r="10" ht="15" customHeight="1" s="54">
      <c r="A10" s="56">
        <f>IF(C9&gt;=$B$6,"",1)</f>
        <v/>
      </c>
      <c r="B10" s="65">
        <f>IF(C9&gt;=$B$6,"",C9)</f>
        <v/>
      </c>
      <c r="C10" s="65">
        <f>IF(C9&gt;=$B$6,"",MIN(EOMONTH($B$5,0),$B$6))</f>
        <v/>
      </c>
      <c r="D10" s="56">
        <f>IF(C9&gt;=$B$6,"",C10-B10)</f>
        <v/>
      </c>
      <c r="E10" s="80">
        <f>IF(C9&gt;=$B$6,"",$B$4)</f>
        <v/>
      </c>
      <c r="F10" s="69">
        <f>IF(C9&gt;=$B$6,"",ROUND($B$3*$B$4/100*D10/365,2))</f>
        <v/>
      </c>
      <c r="G10" s="66">
        <f>IF(C9&gt;=$B$6,"",$B$3)</f>
        <v/>
      </c>
      <c r="H10" s="73">
        <f>IF(C9&gt;=$B$6,"",MAX(0,H9-F10))</f>
        <v/>
      </c>
    </row>
    <row r="11" ht="15" customHeight="1" s="54">
      <c r="A11" s="56">
        <f>IF(C10&gt;=$B$6,"",2)</f>
        <v/>
      </c>
      <c r="B11" s="65">
        <f>IF(C10&gt;=$B$6,"",C10)</f>
        <v/>
      </c>
      <c r="C11" s="65">
        <f>IF(C10&gt;=$B$6,"",MIN(EOMONTH($B$5,1),$B$6))</f>
        <v/>
      </c>
      <c r="D11" s="56">
        <f>IF(C10&gt;=$B$6,"",C11-B11)</f>
        <v/>
      </c>
      <c r="E11" s="80">
        <f>IF(C10&gt;=$B$6,"",$B$4)</f>
        <v/>
      </c>
      <c r="F11" s="69">
        <f>IF(C10&gt;=$B$6,"",ROUND($B$3*$B$4/100*D11/365,2))</f>
        <v/>
      </c>
      <c r="G11" s="66">
        <f>IF(C10&gt;=$B$6,"",$B$3)</f>
        <v/>
      </c>
      <c r="H11" s="73">
        <f>IF(C10&gt;=$B$6,"",MAX(0,H10-F11))</f>
        <v/>
      </c>
    </row>
    <row r="12" ht="15" customHeight="1" s="54">
      <c r="A12" s="56">
        <f>IF(C11&gt;=$B$6,"",3)</f>
        <v/>
      </c>
      <c r="B12" s="65">
        <f>IF(C11&gt;=$B$6,"",C11)</f>
        <v/>
      </c>
      <c r="C12" s="65">
        <f>IF(C11&gt;=$B$6,"",MIN(EOMONTH($B$5,2),$B$6))</f>
        <v/>
      </c>
      <c r="D12" s="56">
        <f>IF(C11&gt;=$B$6,"",C12-B12)</f>
        <v/>
      </c>
      <c r="E12" s="80">
        <f>IF(C11&gt;=$B$6,"",$B$4)</f>
        <v/>
      </c>
      <c r="F12" s="69">
        <f>IF(C11&gt;=$B$6,"",ROUND($B$3*$B$4/100*D12/365,2))</f>
        <v/>
      </c>
      <c r="G12" s="66">
        <f>IF(C11&gt;=$B$6,"",$B$3)</f>
        <v/>
      </c>
      <c r="H12" s="73">
        <f>IF(C11&gt;=$B$6,"",MAX(0,H11-F12))</f>
        <v/>
      </c>
    </row>
    <row r="13" ht="15" customHeight="1" s="54">
      <c r="A13" s="56">
        <f>IF(C12&gt;=$B$6,"",4)</f>
        <v/>
      </c>
      <c r="B13" s="65">
        <f>IF(C12&gt;=$B$6,"",C12)</f>
        <v/>
      </c>
      <c r="C13" s="65">
        <f>IF(C12&gt;=$B$6,"",MIN(EOMONTH($B$5,3),$B$6))</f>
        <v/>
      </c>
      <c r="D13" s="56">
        <f>IF(C12&gt;=$B$6,"",C13-B13)</f>
        <v/>
      </c>
      <c r="E13" s="80">
        <f>IF(C12&gt;=$B$6,"",$B$4)</f>
        <v/>
      </c>
      <c r="F13" s="69">
        <f>IF(C12&gt;=$B$6,"",ROUND($B$3*$B$4/100*D13/365,2))</f>
        <v/>
      </c>
      <c r="G13" s="66">
        <f>IF(C12&gt;=$B$6,"",$B$3)</f>
        <v/>
      </c>
      <c r="H13" s="73">
        <f>IF(C12&gt;=$B$6,"",MAX(0,H12-F13))</f>
        <v/>
      </c>
    </row>
    <row r="14" ht="15" customHeight="1" s="54">
      <c r="A14" s="56">
        <f>IF(C13&gt;=$B$6,"",5)</f>
        <v/>
      </c>
      <c r="B14" s="65">
        <f>IF(C13&gt;=$B$6,"",C13)</f>
        <v/>
      </c>
      <c r="C14" s="65">
        <f>IF(C13&gt;=$B$6,"",MIN(EOMONTH($B$5,4),$B$6))</f>
        <v/>
      </c>
      <c r="D14" s="56">
        <f>IF(C13&gt;=$B$6,"",C14-B14)</f>
        <v/>
      </c>
      <c r="E14" s="80">
        <f>IF(C13&gt;=$B$6,"",$B$4)</f>
        <v/>
      </c>
      <c r="F14" s="69">
        <f>IF(C13&gt;=$B$6,"",ROUND($B$3*$B$4/100*D14/365,2))</f>
        <v/>
      </c>
      <c r="G14" s="66">
        <f>IF(C13&gt;=$B$6,"",$B$3)</f>
        <v/>
      </c>
      <c r="H14" s="73">
        <f>IF(C13&gt;=$B$6,"",MAX(0,H13-F14))</f>
        <v/>
      </c>
    </row>
    <row r="15" ht="15" customHeight="1" s="54">
      <c r="A15" s="56">
        <f>IF(C14&gt;=$B$6,"",6)</f>
        <v/>
      </c>
      <c r="B15" s="65">
        <f>IF(C14&gt;=$B$6,"",C14)</f>
        <v/>
      </c>
      <c r="C15" s="65">
        <f>IF(C14&gt;=$B$6,"",MIN(EOMONTH($B$5,5),$B$6))</f>
        <v/>
      </c>
      <c r="D15" s="56">
        <f>IF(C14&gt;=$B$6,"",C15-B15)</f>
        <v/>
      </c>
      <c r="E15" s="80">
        <f>IF(C14&gt;=$B$6,"",$B$4)</f>
        <v/>
      </c>
      <c r="F15" s="69">
        <f>IF(C14&gt;=$B$6,"",ROUND($B$3*$B$4/100*D15/365,2))</f>
        <v/>
      </c>
      <c r="G15" s="66">
        <f>IF(C14&gt;=$B$6,"",$B$3)</f>
        <v/>
      </c>
      <c r="H15" s="73">
        <f>IF(C14&gt;=$B$6,"",MAX(0,H14-F15))</f>
        <v/>
      </c>
    </row>
    <row r="16" ht="15" customHeight="1" s="54">
      <c r="A16" s="56">
        <f>IF(C15&gt;=$B$6,"",7)</f>
        <v/>
      </c>
      <c r="B16" s="65">
        <f>IF(C15&gt;=$B$6,"",C15)</f>
        <v/>
      </c>
      <c r="C16" s="65">
        <f>IF(C15&gt;=$B$6,"",MIN(EOMONTH($B$5,6),$B$6))</f>
        <v/>
      </c>
      <c r="D16" s="56">
        <f>IF(C15&gt;=$B$6,"",C16-B16)</f>
        <v/>
      </c>
      <c r="E16" s="80">
        <f>IF(C15&gt;=$B$6,"",$B$4)</f>
        <v/>
      </c>
      <c r="F16" s="69">
        <f>IF(C15&gt;=$B$6,"",ROUND($B$3*$B$4/100*D16/365,2))</f>
        <v/>
      </c>
      <c r="G16" s="66">
        <f>IF(C15&gt;=$B$6,"",$B$3)</f>
        <v/>
      </c>
      <c r="H16" s="73">
        <f>IF(C15&gt;=$B$6,"",MAX(0,H15-F16))</f>
        <v/>
      </c>
    </row>
    <row r="17" ht="15" customHeight="1" s="54">
      <c r="A17" s="56">
        <f>IF(C16&gt;=$B$6,"",8)</f>
        <v/>
      </c>
      <c r="B17" s="65">
        <f>IF(C16&gt;=$B$6,"",C16)</f>
        <v/>
      </c>
      <c r="C17" s="65">
        <f>IF(C16&gt;=$B$6,"",MIN(EOMONTH($B$5,7),$B$6))</f>
        <v/>
      </c>
      <c r="D17" s="56">
        <f>IF(C16&gt;=$B$6,"",C17-B17)</f>
        <v/>
      </c>
      <c r="E17" s="80">
        <f>IF(C16&gt;=$B$6,"",$B$4)</f>
        <v/>
      </c>
      <c r="F17" s="69">
        <f>IF(C16&gt;=$B$6,"",ROUND($B$3*$B$4/100*D17/365,2))</f>
        <v/>
      </c>
      <c r="G17" s="66">
        <f>IF(C16&gt;=$B$6,"",$B$3)</f>
        <v/>
      </c>
      <c r="H17" s="73">
        <f>IF(C16&gt;=$B$6,"",MAX(0,H16-F17))</f>
        <v/>
      </c>
    </row>
    <row r="18" ht="15" customHeight="1" s="54">
      <c r="C18" s="90" t="inlineStr">
        <is>
          <t>Total</t>
        </is>
      </c>
      <c r="D18" s="61">
        <f>SUM(D10:D17)</f>
        <v/>
      </c>
      <c r="F18" s="62">
        <f>SUM(F10:F17)</f>
        <v/>
      </c>
    </row>
    <row r="20" ht="15" customHeight="1" s="54">
      <c r="A20" s="81" t="inlineStr">
        <is>
          <t>สูตร: INTEREST = PRINCIPAL × RATE% ÷ 100 × DAY ÷ 365 · PRINCIPAL BALANCE คงที่ (bullet จ่ายก้อนเดียวตอนครบ) · INTEREST BALANCE = ดอกเบี้ยประมาณทั้งสัญญา − ดอกสะสม · งวดแบ่งตามสิ้นเดือน</t>
        </is>
      </c>
    </row>
  </sheetData>
  <mergeCells count="2">
    <mergeCell ref="A1:I1"/>
    <mergeCell ref="A20:H20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F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8" customWidth="1" style="53" min="1" max="1"/>
    <col width="14" customWidth="1" style="53" min="2" max="2"/>
    <col width="16" customWidth="1" style="53" min="3" max="3"/>
    <col width="22" customWidth="1" style="53" min="4" max="4"/>
    <col width="42" customWidth="1" style="53" min="5" max="5"/>
  </cols>
  <sheetData>
    <row r="1" ht="15" customHeight="1" s="54">
      <c r="A1" s="55" t="inlineStr">
        <is>
          <t>FXF-DEMO-001 — Fair Value (label ตรงระบบ)</t>
        </is>
      </c>
    </row>
    <row r="3" ht="15" customHeight="1" s="54">
      <c r="A3" s="56" t="inlineStr">
        <is>
          <t>NOTIONAL (จำนวนเงิน ตปท.)</t>
        </is>
      </c>
      <c r="B3" s="57" t="n">
        <v>100000</v>
      </c>
    </row>
    <row r="4" ht="15" customHeight="1" s="54">
      <c r="A4" s="56" t="inlineStr">
        <is>
          <t>CONTRACT RATE (forward)</t>
        </is>
      </c>
      <c r="B4" s="88" t="n">
        <v>35.5</v>
      </c>
    </row>
    <row r="5" ht="15" customHeight="1" s="54">
      <c r="A5" s="56" t="inlineStr">
        <is>
          <t>DIRECTION (Buy / Sell)</t>
        </is>
      </c>
      <c r="B5" s="92" t="inlineStr">
        <is>
          <t>Buy</t>
        </is>
      </c>
    </row>
    <row r="6" ht="15" customHeight="1" s="54">
      <c r="A6" s="61" t="inlineStr">
        <is>
          <t>NOTIONAL THB (ยอดตามสัญญา) = NOTIONAL × CONTRACT RATE</t>
        </is>
      </c>
      <c r="B6" s="62">
        <f>ROUND($B$3*$B$4,2)</f>
        <v/>
      </c>
    </row>
    <row r="8" ht="34.5" customHeight="1" s="54">
      <c r="A8" s="64" t="inlineStr">
        <is>
          <t>ACCOUNTING PERIOD</t>
        </is>
      </c>
      <c r="B8" s="64" t="inlineStr">
        <is>
          <t>SPOT RATE
(ณ สิ้นงวด)</t>
        </is>
      </c>
      <c r="C8" s="64" t="inlineStr">
        <is>
          <t>FAIR VALUE
(auto)</t>
        </is>
      </c>
      <c r="D8" s="64" t="inlineStr">
        <is>
          <t>UNREALIZED GAIN/LOSS
(auto)</t>
        </is>
      </c>
      <c r="E8" s="64" t="inlineStr">
        <is>
          <t>JE (Dr/Cr)</t>
        </is>
      </c>
    </row>
    <row r="9" ht="15" customHeight="1" s="54">
      <c r="A9" s="82" t="n">
        <v>46295</v>
      </c>
      <c r="B9" s="93" t="n">
        <v>36</v>
      </c>
      <c r="C9" s="66">
        <f>ROUND($B$3*B9,2)</f>
        <v/>
      </c>
      <c r="D9" s="94">
        <f>ROUND(IF($B$5="Sell",$B$6-C9,C9-$B$6),2)</f>
        <v/>
      </c>
      <c r="E9" s="56">
        <f>IF(D9&gt;0,"Dr สินทรัพย์ FXF / Cr FX Gain (4929103)",IF(D9&lt;0,"Dr FX Loss (5439907) / Cr หนี้สิน FXF","ไม่มีผลต่าง"))</f>
        <v/>
      </c>
    </row>
    <row r="10" ht="15" customHeight="1" s="54">
      <c r="A10" s="82" t="n">
        <v>46326</v>
      </c>
      <c r="B10" s="93" t="n">
        <v>35.2</v>
      </c>
      <c r="C10" s="66">
        <f>ROUND($B$3*B10,2)</f>
        <v/>
      </c>
      <c r="D10" s="94">
        <f>ROUND(IF($B$5="Sell",$B$6-C10,C10-$B$6),2)</f>
        <v/>
      </c>
      <c r="E10" s="56">
        <f>IF(D10&gt;0,"Dr สินทรัพย์ FXF / Cr FX Gain (4929103)",IF(D10&lt;0,"Dr FX Loss (5439907) / Cr หนี้สิน FXF","ไม่มีผลต่าง"))</f>
        <v/>
      </c>
    </row>
    <row r="11" ht="15" customHeight="1" s="54">
      <c r="A11" s="82" t="n">
        <v>46356</v>
      </c>
      <c r="B11" s="93" t="n">
        <v>35.8</v>
      </c>
      <c r="C11" s="66">
        <f>ROUND($B$3*B11,2)</f>
        <v/>
      </c>
      <c r="D11" s="94">
        <f>ROUND(IF($B$5="Sell",$B$6-C11,C11-$B$6),2)</f>
        <v/>
      </c>
      <c r="E11" s="56">
        <f>IF(D11&gt;0,"Dr สินทรัพย์ FXF / Cr FX Gain (4929103)",IF(D11&lt;0,"Dr FX Loss (5439907) / Cr หนี้สิน FXF","ไม่มีผลต่าง"))</f>
        <v/>
      </c>
    </row>
    <row r="13" ht="15" customHeight="1" s="54">
      <c r="A13" s="95" t="inlineStr">
        <is>
          <t>สูตร (label ระบบ): FAIR VALUE (auto) = NOTIONAL × SPOT RATE (ณ สิ้นงวด)  ·  UNREALIZED GAIN/LOSS (auto) = FAIR VALUE − NOTIONAL THB (ซื้อ) / NOTIONAL THB − FAIR VALUE (ขาย)</t>
        </is>
      </c>
    </row>
    <row r="14" ht="15" customHeight="1" s="54">
      <c r="A14" s="81" t="inlineStr">
        <is>
          <t>บวก = กำไร · ลบ = ขาดทุน  ·  ปุ่ม "ตีราคาสิ้นเดือนทั้งพอร์ต" = รันสูตรนี้ทุกสัญญา FXF ที่ Active พร้อมกัน (batch) ตามอัตรา spot per currency</t>
        </is>
      </c>
    </row>
  </sheetData>
  <mergeCells count="3">
    <mergeCell ref="A1:F1"/>
    <mergeCell ref="A13:E13"/>
    <mergeCell ref="A14:E1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H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6" customWidth="1" style="53" min="1" max="1"/>
    <col width="7" customWidth="1" style="53" min="2" max="2"/>
    <col width="10" customWidth="1" style="53" min="3" max="3"/>
    <col width="14" customWidth="1" style="53" min="4" max="7"/>
    <col width="10" customWidth="1" style="53" min="8" max="8"/>
  </cols>
  <sheetData>
    <row r="1" ht="15" customHeight="1" s="54">
      <c r="A1" s="55" t="inlineStr">
        <is>
          <t>FX Forward — Monthly Valuation (MTM) · ตีราคาทั้งพอร์ต (label ตรง dialog)</t>
        </is>
      </c>
    </row>
    <row r="3" ht="23.25" customHeight="1" s="54">
      <c r="A3" s="56" t="inlineStr">
        <is>
          <t>Valuation Date (สิ้นเดือน)</t>
        </is>
      </c>
      <c r="B3" s="63" t="n">
        <v>46295</v>
      </c>
      <c r="D3" s="64" t="inlineStr">
        <is>
          <t>Spot Rates per Currency</t>
        </is>
      </c>
      <c r="E3" s="64" t="n"/>
    </row>
    <row r="4" ht="15" customHeight="1" s="54">
      <c r="D4" s="56" t="inlineStr">
        <is>
          <t>USD</t>
        </is>
      </c>
      <c r="E4" s="93" t="n">
        <v>35.6</v>
      </c>
    </row>
    <row r="5" ht="15" customHeight="1" s="54">
      <c r="D5" s="56" t="inlineStr">
        <is>
          <t>JPY</t>
        </is>
      </c>
      <c r="E5" s="93" t="n">
        <v>0.24</v>
      </c>
    </row>
    <row r="6" ht="15" customHeight="1" s="54">
      <c r="D6" s="56" t="inlineStr">
        <is>
          <t>EUR</t>
        </is>
      </c>
      <c r="E6" s="93" t="n">
        <v>38.5</v>
      </c>
    </row>
    <row r="8" ht="23.25" customHeight="1" s="54">
      <c r="A8" s="64" t="inlineStr">
        <is>
          <t>FXF</t>
        </is>
      </c>
      <c r="B8" s="64" t="inlineStr">
        <is>
          <t>CCY</t>
        </is>
      </c>
      <c r="C8" s="64" t="inlineStr">
        <is>
          <t>DIRECTION</t>
        </is>
      </c>
      <c r="D8" s="64" t="inlineStr">
        <is>
          <t>NOTIONAL</t>
        </is>
      </c>
      <c r="E8" s="64" t="inlineStr">
        <is>
          <t>CONTRACT RATE</t>
        </is>
      </c>
      <c r="F8" s="64" t="inlineStr">
        <is>
          <t>MONTH-END RATE</t>
        </is>
      </c>
      <c r="G8" s="64" t="inlineStr">
        <is>
          <t>MTM (THB)</t>
        </is>
      </c>
      <c r="H8" s="64" t="inlineStr">
        <is>
          <t>STATUS</t>
        </is>
      </c>
    </row>
    <row r="9" ht="15" customHeight="1" s="54">
      <c r="A9" s="79" t="inlineStr">
        <is>
          <t>FXF-2026-003</t>
        </is>
      </c>
      <c r="B9" s="79" t="inlineStr">
        <is>
          <t>USD</t>
        </is>
      </c>
      <c r="C9" s="79" t="inlineStr">
        <is>
          <t>Buy</t>
        </is>
      </c>
      <c r="D9" s="83" t="n">
        <v>250000</v>
      </c>
      <c r="E9" s="93" t="n">
        <v>35.4</v>
      </c>
      <c r="F9" s="96">
        <f>VLOOKUP(B9,$D$4:$E$6,2,FALSE())</f>
        <v/>
      </c>
      <c r="G9" s="94">
        <f>ROUND(IF(C9="Sell",D9*(E9-F9),D9*(F9-E9)),2)</f>
        <v/>
      </c>
      <c r="H9" s="56">
        <f>IF(F9&gt;0,"ready","—")</f>
        <v/>
      </c>
    </row>
    <row r="10" ht="15" customHeight="1" s="54">
      <c r="A10" s="79" t="inlineStr">
        <is>
          <t>FXF-DEMO-001</t>
        </is>
      </c>
      <c r="B10" s="79" t="inlineStr">
        <is>
          <t>USD</t>
        </is>
      </c>
      <c r="C10" s="79" t="inlineStr">
        <is>
          <t>Buy</t>
        </is>
      </c>
      <c r="D10" s="83" t="n">
        <v>100000</v>
      </c>
      <c r="E10" s="93" t="n">
        <v>35.5</v>
      </c>
      <c r="F10" s="96">
        <f>VLOOKUP(B10,$D$4:$E$6,2,FALSE())</f>
        <v/>
      </c>
      <c r="G10" s="94">
        <f>ROUND(IF(C10="Sell",D10*(E10-F10),D10*(F10-E10)),2)</f>
        <v/>
      </c>
      <c r="H10" s="56">
        <f>IF(F10&gt;0,"ready","—")</f>
        <v/>
      </c>
    </row>
    <row r="11" ht="15" customHeight="1" s="54">
      <c r="A11" s="79" t="inlineStr">
        <is>
          <t>FXF-2026-010</t>
        </is>
      </c>
      <c r="B11" s="79" t="inlineStr">
        <is>
          <t>EUR</t>
        </is>
      </c>
      <c r="C11" s="79" t="inlineStr">
        <is>
          <t>Sell</t>
        </is>
      </c>
      <c r="D11" s="83" t="n">
        <v>50000</v>
      </c>
      <c r="E11" s="93" t="n">
        <v>38.8</v>
      </c>
      <c r="F11" s="96">
        <f>VLOOKUP(B11,$D$4:$E$6,2,FALSE())</f>
        <v/>
      </c>
      <c r="G11" s="94">
        <f>ROUND(IF(C11="Sell",D11*(E11-F11),D11*(F11-E11)),2)</f>
        <v/>
      </c>
      <c r="H11" s="56">
        <f>IF(F11&gt;0,"ready","—")</f>
        <v/>
      </c>
    </row>
    <row r="12" ht="15" customHeight="1" s="54">
      <c r="F12" s="90" t="inlineStr">
        <is>
          <t>รวม MTM ทั้งพอร์ต</t>
        </is>
      </c>
      <c r="G12" s="62">
        <f>SUM(G9:G11)</f>
        <v/>
      </c>
    </row>
    <row r="14" ht="11.25" customHeight="1" s="54">
      <c r="A14" s="81" t="inlineStr">
        <is>
          <t>สูตร MTM (THB) = NOTIONAL × (MONTH-END RATE − CONTRACT RATE)  [Buy] · NOTIONAL × (CONTRACT − MONTH-END) [Sell] · MONTH-END RATE ดึงตาม CCY จากตาราง Spot · กด "ลงบัญชีทั้งหมด" = post ทุกแถวพร้อมกัน</t>
        </is>
      </c>
    </row>
  </sheetData>
  <mergeCells count="2">
    <mergeCell ref="A14:H14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D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2" customWidth="1" style="53" min="1" max="1"/>
    <col width="16" customWidth="1" style="53" min="2" max="2"/>
  </cols>
  <sheetData>
    <row r="1" ht="15" customHeight="1" s="54">
      <c r="A1" s="55" t="inlineStr">
        <is>
          <t>LC-DEMO-001 — Fee (label ตรงระบบ · 2 โหมด)</t>
        </is>
      </c>
    </row>
    <row r="3" ht="15" customHeight="1" s="54">
      <c r="A3" s="56" t="inlineStr">
        <is>
          <t>L/C AMOUNT (THB)</t>
        </is>
      </c>
      <c r="B3" s="60" t="n">
        <v>3500000</v>
      </c>
    </row>
    <row r="4" ht="15" customHeight="1" s="54">
      <c r="A4" s="56" t="inlineStr">
        <is>
          <t>FEE RATE (%)</t>
        </is>
      </c>
      <c r="B4" s="59" t="n">
        <v>1</v>
      </c>
    </row>
    <row r="5" ht="15" customHeight="1" s="54">
      <c r="A5" s="56" t="inlineStr">
        <is>
          <t>FEE MODE (Full-term / Engagement+Pro-rated)</t>
        </is>
      </c>
      <c r="B5" s="97" t="inlineStr">
        <is>
          <t>Full-term</t>
        </is>
      </c>
    </row>
    <row r="6" ht="15" customHeight="1" s="54">
      <c r="A6" s="56" t="inlineStr">
        <is>
          <t>ENGAGEMENT FEE (THB)</t>
        </is>
      </c>
      <c r="B6" s="60" t="n">
        <v>0</v>
      </c>
    </row>
    <row r="7" ht="15" customHeight="1" s="54">
      <c r="A7" s="56" t="inlineStr">
        <is>
          <t>TERM DAYS (สำหรับ pro-rated)</t>
        </is>
      </c>
      <c r="B7" s="58" t="n">
        <v>90</v>
      </c>
    </row>
    <row r="9" ht="15" customHeight="1" s="54">
      <c r="A9" s="56" t="inlineStr">
        <is>
          <t>L/C Amount (THB)</t>
        </is>
      </c>
      <c r="B9" s="66">
        <f>$B$3</f>
        <v/>
      </c>
    </row>
    <row r="10" ht="15" customHeight="1" s="54">
      <c r="A10" s="56" t="inlineStr">
        <is>
          <t>Rate Component (Fee Rate %)</t>
        </is>
      </c>
      <c r="B10" s="66">
        <f>ROUND($B$3*$B$4/100,2)</f>
        <v/>
      </c>
    </row>
    <row r="11" ht="15" customHeight="1" s="54">
      <c r="A11" s="56" t="inlineStr">
        <is>
          <t>Pro-rated (TERM DAYS / 365)</t>
        </is>
      </c>
      <c r="B11" s="66">
        <f>ROUND(B10*$B$7/365,2)</f>
        <v/>
      </c>
    </row>
    <row r="12" ht="15" customHeight="1" s="54">
      <c r="A12" s="56" t="inlineStr">
        <is>
          <t>Engagement Fee</t>
        </is>
      </c>
      <c r="B12" s="66">
        <f>$B$6</f>
        <v/>
      </c>
    </row>
    <row r="13" ht="15" customHeight="1" s="54">
      <c r="A13" s="61" t="inlineStr">
        <is>
          <t>💰 Total Fee</t>
        </is>
      </c>
      <c r="B13" s="98">
        <f>IF(ISNUMBER(SEARCH("Engagement",$B$5)),B11+B12,B10)</f>
        <v/>
      </c>
    </row>
    <row r="15" ht="11.25" customHeight="1" s="54">
      <c r="A15" s="95" t="inlineStr">
        <is>
          <t>สูตร: Full-term → Total Fee = L/C Amount × Fee Rate%  ·  Engagement+Pro-rated → (Rate Component × TERM DAYS ÷ 365) + Engagement Fee</t>
        </is>
      </c>
    </row>
    <row r="17" ht="11.25" customHeight="1" s="54">
      <c r="A17" s="99" t="inlineStr">
        <is>
          <t>วิธีสลับ: คลิกช่อง B5 (FEE MODE) → จะมีลูกศร dropdown ให้เลือก "Full-term" หรือ "Engagement+Pro-rated" → Total Fee เปลี่ยนตามทันที</t>
        </is>
      </c>
    </row>
  </sheetData>
  <mergeCells count="3">
    <mergeCell ref="A1:C1"/>
    <mergeCell ref="A15:D15"/>
    <mergeCell ref="A17:D17"/>
  </mergeCells>
  <dataValidations count="1">
    <dataValidation sqref="B5" showDropDown="0" showInputMessage="0" showErrorMessage="0" allowBlank="0" promptTitle="FEE MODE" prompt="เลือกโหมดค่าธรรมเนียม" type="list" errorStyle="stop" operator="between">
      <formula1>"Full-term,Engagement+Pro-rated"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G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6" customWidth="1" style="53" min="1" max="1"/>
    <col width="13" customWidth="1" style="53" min="2" max="2"/>
    <col width="12" customWidth="1" style="53" min="3" max="4"/>
    <col width="6" customWidth="1" style="53" min="5" max="5"/>
    <col width="14" customWidth="1" style="53" min="6" max="7"/>
  </cols>
  <sheetData>
    <row r="1" ht="15" customHeight="1" s="54">
      <c r="A1" s="55" t="inlineStr">
        <is>
          <t>LC-DEMO-001 — Schedule Calculate (Prepaid L/C Fee · daily-prorated รายเดือน)</t>
        </is>
      </c>
    </row>
    <row r="3" ht="15" customHeight="1" s="54">
      <c r="A3" s="56" t="inlineStr">
        <is>
          <t>TOTAL FEE (ลิงก์จากแท็บ LC Fee)</t>
        </is>
      </c>
      <c r="B3" s="100">
        <f>'LC Fee'!B13</f>
        <v/>
      </c>
    </row>
    <row r="4" ht="15" customHeight="1" s="54">
      <c r="A4" s="56" t="inlineStr">
        <is>
          <t>ISSUE DATE</t>
        </is>
      </c>
      <c r="B4" s="63" t="n">
        <v>46266</v>
      </c>
    </row>
    <row r="5" ht="15" customHeight="1" s="54">
      <c r="A5" s="56" t="inlineStr">
        <is>
          <t>EXPIRY DATE</t>
        </is>
      </c>
      <c r="B5" s="63" t="n">
        <v>46401</v>
      </c>
    </row>
    <row r="6" ht="15" customHeight="1" s="54">
      <c r="A6" s="61" t="inlineStr">
        <is>
          <t>Total Days = Expiry − Issue</t>
        </is>
      </c>
      <c r="B6" s="101">
        <f>$B$5-$B$4</f>
        <v/>
      </c>
    </row>
    <row r="7" ht="15" customHeight="1" s="54">
      <c r="A7" s="61" t="inlineStr">
        <is>
          <t>Daily Rate = Total Fee ÷ Total Days</t>
        </is>
      </c>
      <c r="B7" s="102">
        <f>$B$3/B6</f>
        <v/>
      </c>
    </row>
    <row r="9" ht="23.25" customHeight="1" s="54">
      <c r="A9" s="64" t="inlineStr">
        <is>
          <t>PERIOD</t>
        </is>
      </c>
      <c r="B9" s="64" t="inlineStr">
        <is>
          <t>PAYMENT DATE</t>
        </is>
      </c>
      <c r="C9" s="64" t="inlineStr">
        <is>
          <t>START</t>
        </is>
      </c>
      <c r="D9" s="64" t="inlineStr">
        <is>
          <t>END</t>
        </is>
      </c>
      <c r="E9" s="64" t="inlineStr">
        <is>
          <t>DAYS</t>
        </is>
      </c>
      <c r="F9" s="64" t="inlineStr">
        <is>
          <t>FEE AMOUNT</t>
        </is>
      </c>
      <c r="G9" s="64" t="inlineStr">
        <is>
          <t>REMAINING</t>
        </is>
      </c>
    </row>
    <row r="10" ht="15" customHeight="1" s="54">
      <c r="A10" s="56" t="inlineStr">
        <is>
          <t>จ่าย</t>
        </is>
      </c>
      <c r="B10" s="65">
        <f>$B$4</f>
        <v/>
      </c>
      <c r="C10" s="56" t="inlineStr">
        <is>
          <t>—</t>
        </is>
      </c>
      <c r="D10" s="56" t="inlineStr">
        <is>
          <t>—</t>
        </is>
      </c>
      <c r="E10" s="56" t="inlineStr">
        <is>
          <t>—</t>
        </is>
      </c>
      <c r="F10" s="66">
        <f>$B$3</f>
        <v/>
      </c>
      <c r="G10" s="66">
        <f>$B$3</f>
        <v/>
      </c>
    </row>
    <row r="11" ht="15" customHeight="1" s="54">
      <c r="A11" s="56">
        <f>IF(FALSE(),"",1)</f>
        <v/>
      </c>
      <c r="B11" s="56">
        <f>IF(FALSE(),"","—")</f>
        <v/>
      </c>
      <c r="C11" s="65">
        <f>IF(FALSE(),"",$B$4)</f>
        <v/>
      </c>
      <c r="D11" s="65">
        <f>IF(FALSE(),"",MIN(EOMONTH(C11,0),$B$5))</f>
        <v/>
      </c>
      <c r="E11" s="56">
        <f>IF(FALSE(),"",IF(1=1,D11-$B$4,D11-C11+1))</f>
        <v/>
      </c>
      <c r="F11" s="69">
        <f>IF(FALSE(),"",IF(D11&gt;=$B$5,G10,ROUND($B$7*E11,2)))</f>
        <v/>
      </c>
      <c r="G11" s="72">
        <f>IF(FALSE(),"",G10-F11)</f>
        <v/>
      </c>
    </row>
    <row r="12" ht="15" customHeight="1" s="54">
      <c r="A12" s="56">
        <f>IF(D11&gt;=$B$5,"",2)</f>
        <v/>
      </c>
      <c r="B12" s="56">
        <f>IF(D11&gt;=$B$5,"","—")</f>
        <v/>
      </c>
      <c r="C12" s="65">
        <f>IF(D11&gt;=$B$5,"",D11+1)</f>
        <v/>
      </c>
      <c r="D12" s="65">
        <f>IF(D11&gt;=$B$5,"",MIN(EOMONTH(C12,0),$B$5))</f>
        <v/>
      </c>
      <c r="E12" s="56">
        <f>IF(D11&gt;=$B$5,"",IF(2=1,D12-$B$4,D12-C12+1))</f>
        <v/>
      </c>
      <c r="F12" s="69">
        <f>IF(D11&gt;=$B$5,"",IF(D12&gt;=$B$5,G11,ROUND($B$7*E12,2)))</f>
        <v/>
      </c>
      <c r="G12" s="72">
        <f>IF(D11&gt;=$B$5,"",G11-F12)</f>
        <v/>
      </c>
    </row>
    <row r="13" ht="15" customHeight="1" s="54">
      <c r="A13" s="56">
        <f>IF(D12&gt;=$B$5,"",3)</f>
        <v/>
      </c>
      <c r="B13" s="56">
        <f>IF(D12&gt;=$B$5,"","—")</f>
        <v/>
      </c>
      <c r="C13" s="65">
        <f>IF(D12&gt;=$B$5,"",D12+1)</f>
        <v/>
      </c>
      <c r="D13" s="65">
        <f>IF(D12&gt;=$B$5,"",MIN(EOMONTH(C13,0),$B$5))</f>
        <v/>
      </c>
      <c r="E13" s="56">
        <f>IF(D12&gt;=$B$5,"",IF(3=1,D13-$B$4,D13-C13+1))</f>
        <v/>
      </c>
      <c r="F13" s="69">
        <f>IF(D12&gt;=$B$5,"",IF(D13&gt;=$B$5,G12,ROUND($B$7*E13,2)))</f>
        <v/>
      </c>
      <c r="G13" s="72">
        <f>IF(D12&gt;=$B$5,"",G12-F13)</f>
        <v/>
      </c>
    </row>
    <row r="14" ht="15" customHeight="1" s="54">
      <c r="A14" s="56">
        <f>IF(D13&gt;=$B$5,"",4)</f>
        <v/>
      </c>
      <c r="B14" s="56">
        <f>IF(D13&gt;=$B$5,"","—")</f>
        <v/>
      </c>
      <c r="C14" s="65">
        <f>IF(D13&gt;=$B$5,"",D13+1)</f>
        <v/>
      </c>
      <c r="D14" s="65">
        <f>IF(D13&gt;=$B$5,"",MIN(EOMONTH(C14,0),$B$5))</f>
        <v/>
      </c>
      <c r="E14" s="56">
        <f>IF(D13&gt;=$B$5,"",IF(4=1,D14-$B$4,D14-C14+1))</f>
        <v/>
      </c>
      <c r="F14" s="69">
        <f>IF(D13&gt;=$B$5,"",IF(D14&gt;=$B$5,G13,ROUND($B$7*E14,2)))</f>
        <v/>
      </c>
      <c r="G14" s="72">
        <f>IF(D13&gt;=$B$5,"",G13-F14)</f>
        <v/>
      </c>
    </row>
    <row r="15" ht="15" customHeight="1" s="54">
      <c r="A15" s="56">
        <f>IF(D14&gt;=$B$5,"",5)</f>
        <v/>
      </c>
      <c r="B15" s="56">
        <f>IF(D14&gt;=$B$5,"","—")</f>
        <v/>
      </c>
      <c r="C15" s="65">
        <f>IF(D14&gt;=$B$5,"",D14+1)</f>
        <v/>
      </c>
      <c r="D15" s="65">
        <f>IF(D14&gt;=$B$5,"",MIN(EOMONTH(C15,0),$B$5))</f>
        <v/>
      </c>
      <c r="E15" s="56">
        <f>IF(D14&gt;=$B$5,"",IF(5=1,D15-$B$4,D15-C15+1))</f>
        <v/>
      </c>
      <c r="F15" s="69">
        <f>IF(D14&gt;=$B$5,"",IF(D15&gt;=$B$5,G14,ROUND($B$7*E15,2)))</f>
        <v/>
      </c>
      <c r="G15" s="72">
        <f>IF(D14&gt;=$B$5,"",G14-F15)</f>
        <v/>
      </c>
    </row>
    <row r="16" ht="15" customHeight="1" s="54">
      <c r="A16" s="56">
        <f>IF(D15&gt;=$B$5,"",6)</f>
        <v/>
      </c>
      <c r="B16" s="56">
        <f>IF(D15&gt;=$B$5,"","—")</f>
        <v/>
      </c>
      <c r="C16" s="65">
        <f>IF(D15&gt;=$B$5,"",D15+1)</f>
        <v/>
      </c>
      <c r="D16" s="65">
        <f>IF(D15&gt;=$B$5,"",MIN(EOMONTH(C16,0),$B$5))</f>
        <v/>
      </c>
      <c r="E16" s="56">
        <f>IF(D15&gt;=$B$5,"",IF(6=1,D16-$B$4,D16-C16+1))</f>
        <v/>
      </c>
      <c r="F16" s="69">
        <f>IF(D15&gt;=$B$5,"",IF(D16&gt;=$B$5,G15,ROUND($B$7*E16,2)))</f>
        <v/>
      </c>
      <c r="G16" s="72">
        <f>IF(D15&gt;=$B$5,"",G15-F16)</f>
        <v/>
      </c>
    </row>
    <row r="17" ht="15" customHeight="1" s="54">
      <c r="A17" s="56">
        <f>IF(D16&gt;=$B$5,"",7)</f>
        <v/>
      </c>
      <c r="B17" s="56">
        <f>IF(D16&gt;=$B$5,"","—")</f>
        <v/>
      </c>
      <c r="C17" s="65">
        <f>IF(D16&gt;=$B$5,"",D16+1)</f>
        <v/>
      </c>
      <c r="D17" s="65">
        <f>IF(D16&gt;=$B$5,"",MIN(EOMONTH(C17,0),$B$5))</f>
        <v/>
      </c>
      <c r="E17" s="56">
        <f>IF(D16&gt;=$B$5,"",IF(7=1,D17-$B$4,D17-C17+1))</f>
        <v/>
      </c>
      <c r="F17" s="69">
        <f>IF(D16&gt;=$B$5,"",IF(D17&gt;=$B$5,G16,ROUND($B$7*E17,2)))</f>
        <v/>
      </c>
      <c r="G17" s="72">
        <f>IF(D16&gt;=$B$5,"",G16-F17)</f>
        <v/>
      </c>
    </row>
    <row r="18" ht="15" customHeight="1" s="54">
      <c r="A18" s="56">
        <f>IF(D17&gt;=$B$5,"",8)</f>
        <v/>
      </c>
      <c r="B18" s="56">
        <f>IF(D17&gt;=$B$5,"","—")</f>
        <v/>
      </c>
      <c r="C18" s="65">
        <f>IF(D17&gt;=$B$5,"",D17+1)</f>
        <v/>
      </c>
      <c r="D18" s="65">
        <f>IF(D17&gt;=$B$5,"",MIN(EOMONTH(C18,0),$B$5))</f>
        <v/>
      </c>
      <c r="E18" s="56">
        <f>IF(D17&gt;=$B$5,"",IF(8=1,D18-$B$4,D18-C18+1))</f>
        <v/>
      </c>
      <c r="F18" s="69">
        <f>IF(D17&gt;=$B$5,"",IF(D18&gt;=$B$5,G17,ROUND($B$7*E18,2)))</f>
        <v/>
      </c>
      <c r="G18" s="72">
        <f>IF(D17&gt;=$B$5,"",G17-F18)</f>
        <v/>
      </c>
    </row>
    <row r="19" ht="15" customHeight="1" s="54">
      <c r="E19" s="61" t="inlineStr">
        <is>
          <t>รวม</t>
        </is>
      </c>
      <c r="F19" s="62">
        <f>SUM(F11:F18)</f>
        <v/>
      </c>
    </row>
    <row r="21" ht="11.25" customHeight="1" s="54">
      <c r="A21" s="81" t="inlineStr">
        <is>
          <t>สูตร: TOTAL FEE ลิงก์จากแท็บ LC Fee → สลับโหมดที่นั่น ตารางนี้เปลี่ยนตามอัตโนมัติ · DAILY RATE = TOTAL FEE ÷ Total Days · FEE AMOUNT = DAILY RATE × DAYS (งวดสุดท้ายปิดยอด) · REMAINING ลดจนเป็น 0</t>
        </is>
      </c>
    </row>
  </sheetData>
  <mergeCells count="2">
    <mergeCell ref="A21:G21"/>
    <mergeCell ref="A1:G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I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8" customWidth="1" style="53" min="1" max="1"/>
    <col width="12" customWidth="1" style="53" min="2" max="3"/>
    <col width="6" customWidth="1" style="53" min="4" max="4"/>
    <col width="9" customWidth="1" style="53" min="5" max="5"/>
    <col width="14" customWidth="1" style="53" min="6" max="6"/>
    <col width="15" customWidth="1" style="53" min="7" max="7"/>
    <col width="14" customWidth="1" style="53" min="8" max="8"/>
    <col width="12" customWidth="1" style="53" min="9" max="9"/>
  </cols>
  <sheetData>
    <row r="1" ht="15" customHeight="1" s="54">
      <c r="A1" s="55" t="inlineStr">
        <is>
          <t>PN-RO1-ORIG-001 — Schedule Calculate (P/N · bullet · label ตรงระบบ)</t>
        </is>
      </c>
    </row>
    <row r="3" ht="15" customHeight="1" s="54">
      <c r="A3" s="56" t="inlineStr">
        <is>
          <t>PRINCIPAL</t>
        </is>
      </c>
      <c r="B3" s="57" t="n">
        <v>1000000</v>
      </c>
    </row>
    <row r="4" ht="15" customHeight="1" s="54">
      <c r="A4" s="56" t="inlineStr">
        <is>
          <t>RATE / YEAR (%)</t>
        </is>
      </c>
      <c r="B4" s="59" t="n">
        <v>5</v>
      </c>
    </row>
    <row r="5" ht="15" customHeight="1" s="54">
      <c r="A5" s="56" t="inlineStr">
        <is>
          <t>TRANSACTION DATE</t>
        </is>
      </c>
      <c r="B5" s="63" t="n">
        <v>46174</v>
      </c>
    </row>
    <row r="6" ht="15" customHeight="1" s="54">
      <c r="A6" s="56" t="inlineStr">
        <is>
          <t>MATURITY DATE</t>
        </is>
      </c>
      <c r="B6" s="63" t="n">
        <v>46266</v>
      </c>
    </row>
    <row r="8" ht="23.85" customHeight="1" s="54">
      <c r="A8" s="64" t="inlineStr">
        <is>
          <t>PERIOD</t>
        </is>
      </c>
      <c r="B8" s="64" t="inlineStr">
        <is>
          <t>START DATE</t>
        </is>
      </c>
      <c r="C8" s="64" t="inlineStr">
        <is>
          <t>END DATE</t>
        </is>
      </c>
      <c r="D8" s="64" t="inlineStr">
        <is>
          <t>DAYS</t>
        </is>
      </c>
      <c r="E8" s="64" t="inlineStr">
        <is>
          <t>RATE (%)</t>
        </is>
      </c>
      <c r="F8" s="64" t="inlineStr">
        <is>
          <t>INTEREST PAID</t>
        </is>
      </c>
      <c r="G8" s="64" t="inlineStr">
        <is>
          <t>PRINCIPAL BAL.</t>
        </is>
      </c>
      <c r="H8" s="64" t="inlineStr">
        <is>
          <t>INTEREST BAL.</t>
        </is>
      </c>
      <c r="I8" s="64" t="inlineStr">
        <is>
          <t>DUE DATE</t>
        </is>
      </c>
    </row>
    <row r="9" ht="15" customHeight="1" s="54">
      <c r="A9" s="56" t="n">
        <v>0</v>
      </c>
      <c r="B9" s="65">
        <f>$B$5</f>
        <v/>
      </c>
      <c r="C9" s="65">
        <f>$B$5</f>
        <v/>
      </c>
      <c r="D9" s="56" t="inlineStr">
        <is>
          <t>—</t>
        </is>
      </c>
      <c r="E9" s="56" t="inlineStr">
        <is>
          <t>—</t>
        </is>
      </c>
      <c r="F9" s="56" t="inlineStr">
        <is>
          <t>—</t>
        </is>
      </c>
      <c r="G9" s="66">
        <f>$B$3</f>
        <v/>
      </c>
      <c r="H9" s="66">
        <f>ROUND($B$3*$B$4/100*($B$6-$B$5)/365,2)</f>
        <v/>
      </c>
      <c r="I9" s="56" t="inlineStr">
        <is>
          <t>—</t>
        </is>
      </c>
    </row>
    <row r="10" ht="15" customHeight="1" s="54">
      <c r="A10" s="56">
        <f>IF(FALSE(),"",1)</f>
        <v/>
      </c>
      <c r="B10" s="65">
        <f>IF(FALSE(),"",$B$5)</f>
        <v/>
      </c>
      <c r="C10" s="65">
        <f>IF(FALSE(),"",MIN(EOMONTH($B$5,0),$B$6))</f>
        <v/>
      </c>
      <c r="D10" s="56">
        <f>IF(FALSE(),"",C10-B10)</f>
        <v/>
      </c>
      <c r="E10" s="103">
        <f>IF(FALSE(),"",$B$4)</f>
        <v/>
      </c>
      <c r="F10" s="69">
        <f>IF(FALSE(),"",ROUND($B$3*$B$4/100*D10/365,2))</f>
        <v/>
      </c>
      <c r="G10" s="66">
        <f>IF(FALSE(),"",$B$3)</f>
        <v/>
      </c>
      <c r="H10" s="73">
        <f>IF(FALSE(),"",MAX(0,H9-F10))</f>
        <v/>
      </c>
      <c r="I10" s="65">
        <f>IF(FALSE(),"",C10)</f>
        <v/>
      </c>
    </row>
    <row r="11" ht="15" customHeight="1" s="54">
      <c r="A11" s="56">
        <f>IF(C10&gt;=$B$6,"",2)</f>
        <v/>
      </c>
      <c r="B11" s="65">
        <f>IF(C10&gt;=$B$6,"",C10)</f>
        <v/>
      </c>
      <c r="C11" s="65">
        <f>IF(C10&gt;=$B$6,"",MIN(EOMONTH($B$5,1),$B$6))</f>
        <v/>
      </c>
      <c r="D11" s="56">
        <f>IF(C10&gt;=$B$6,"",C11-B11)</f>
        <v/>
      </c>
      <c r="E11" s="103">
        <f>IF(C10&gt;=$B$6,"",$B$4)</f>
        <v/>
      </c>
      <c r="F11" s="69">
        <f>IF(C10&gt;=$B$6,"",ROUND($B$3*$B$4/100*D11/365,2))</f>
        <v/>
      </c>
      <c r="G11" s="66">
        <f>IF(C10&gt;=$B$6,"",$B$3)</f>
        <v/>
      </c>
      <c r="H11" s="73">
        <f>IF(C10&gt;=$B$6,"",MAX(0,H10-F11))</f>
        <v/>
      </c>
      <c r="I11" s="65">
        <f>IF(C10&gt;=$B$6,"",C11)</f>
        <v/>
      </c>
    </row>
    <row r="12" ht="15" customHeight="1" s="54">
      <c r="A12" s="56">
        <f>IF(C11&gt;=$B$6,"",3)</f>
        <v/>
      </c>
      <c r="B12" s="65">
        <f>IF(C11&gt;=$B$6,"",C11)</f>
        <v/>
      </c>
      <c r="C12" s="65">
        <f>IF(C11&gt;=$B$6,"",MIN(EOMONTH($B$5,2),$B$6))</f>
        <v/>
      </c>
      <c r="D12" s="56">
        <f>IF(C11&gt;=$B$6,"",C12-B12)</f>
        <v/>
      </c>
      <c r="E12" s="103">
        <f>IF(C11&gt;=$B$6,"",$B$4)</f>
        <v/>
      </c>
      <c r="F12" s="69">
        <f>IF(C11&gt;=$B$6,"",ROUND($B$3*$B$4/100*D12/365,2))</f>
        <v/>
      </c>
      <c r="G12" s="66">
        <f>IF(C11&gt;=$B$6,"",$B$3)</f>
        <v/>
      </c>
      <c r="H12" s="73">
        <f>IF(C11&gt;=$B$6,"",MAX(0,H11-F12))</f>
        <v/>
      </c>
      <c r="I12" s="65">
        <f>IF(C11&gt;=$B$6,"",C12)</f>
        <v/>
      </c>
    </row>
    <row r="13" ht="15" customHeight="1" s="54">
      <c r="A13" s="56">
        <f>IF(C12&gt;=$B$6,"",4)</f>
        <v/>
      </c>
      <c r="B13" s="65">
        <f>IF(C12&gt;=$B$6,"",C12)</f>
        <v/>
      </c>
      <c r="C13" s="65">
        <f>IF(C12&gt;=$B$6,"",MIN(EOMONTH($B$5,3),$B$6))</f>
        <v/>
      </c>
      <c r="D13" s="56">
        <f>IF(C12&gt;=$B$6,"",C13-B13)</f>
        <v/>
      </c>
      <c r="E13" s="103">
        <f>IF(C12&gt;=$B$6,"",$B$4)</f>
        <v/>
      </c>
      <c r="F13" s="69">
        <f>IF(C12&gt;=$B$6,"",ROUND($B$3*$B$4/100*D13/365,2))</f>
        <v/>
      </c>
      <c r="G13" s="66">
        <f>IF(C12&gt;=$B$6,"",$B$3)</f>
        <v/>
      </c>
      <c r="H13" s="73">
        <f>IF(C12&gt;=$B$6,"",MAX(0,H12-F13))</f>
        <v/>
      </c>
      <c r="I13" s="65">
        <f>IF(C12&gt;=$B$6,"",C13)</f>
        <v/>
      </c>
    </row>
    <row r="14" ht="15" customHeight="1" s="54">
      <c r="A14" s="56">
        <f>IF(C13&gt;=$B$6,"",5)</f>
        <v/>
      </c>
      <c r="B14" s="65">
        <f>IF(C13&gt;=$B$6,"",C13)</f>
        <v/>
      </c>
      <c r="C14" s="65">
        <f>IF(C13&gt;=$B$6,"",MIN(EOMONTH($B$5,4),$B$6))</f>
        <v/>
      </c>
      <c r="D14" s="56">
        <f>IF(C13&gt;=$B$6,"",C14-B14)</f>
        <v/>
      </c>
      <c r="E14" s="103">
        <f>IF(C13&gt;=$B$6,"",$B$4)</f>
        <v/>
      </c>
      <c r="F14" s="69">
        <f>IF(C13&gt;=$B$6,"",ROUND($B$3*$B$4/100*D14/365,2))</f>
        <v/>
      </c>
      <c r="G14" s="66">
        <f>IF(C13&gt;=$B$6,"",$B$3)</f>
        <v/>
      </c>
      <c r="H14" s="73">
        <f>IF(C13&gt;=$B$6,"",MAX(0,H13-F14))</f>
        <v/>
      </c>
      <c r="I14" s="65">
        <f>IF(C13&gt;=$B$6,"",C14)</f>
        <v/>
      </c>
    </row>
    <row r="15" ht="15" customHeight="1" s="54">
      <c r="A15" s="56">
        <f>IF(C14&gt;=$B$6,"",6)</f>
        <v/>
      </c>
      <c r="B15" s="65">
        <f>IF(C14&gt;=$B$6,"",C14)</f>
        <v/>
      </c>
      <c r="C15" s="65">
        <f>IF(C14&gt;=$B$6,"",MIN(EOMONTH($B$5,5),$B$6))</f>
        <v/>
      </c>
      <c r="D15" s="56">
        <f>IF(C14&gt;=$B$6,"",C15-B15)</f>
        <v/>
      </c>
      <c r="E15" s="103">
        <f>IF(C14&gt;=$B$6,"",$B$4)</f>
        <v/>
      </c>
      <c r="F15" s="69">
        <f>IF(C14&gt;=$B$6,"",ROUND($B$3*$B$4/100*D15/365,2))</f>
        <v/>
      </c>
      <c r="G15" s="66">
        <f>IF(C14&gt;=$B$6,"",$B$3)</f>
        <v/>
      </c>
      <c r="H15" s="73">
        <f>IF(C14&gt;=$B$6,"",MAX(0,H14-F15))</f>
        <v/>
      </c>
      <c r="I15" s="65">
        <f>IF(C14&gt;=$B$6,"",C15)</f>
        <v/>
      </c>
    </row>
    <row r="16" ht="15" customHeight="1" s="54">
      <c r="A16" s="56">
        <f>IF(C15&gt;=$B$6,"",7)</f>
        <v/>
      </c>
      <c r="B16" s="65">
        <f>IF(C15&gt;=$B$6,"",C15)</f>
        <v/>
      </c>
      <c r="C16" s="65">
        <f>IF(C15&gt;=$B$6,"",MIN(EOMONTH($B$5,6),$B$6))</f>
        <v/>
      </c>
      <c r="D16" s="56">
        <f>IF(C15&gt;=$B$6,"",C16-B16)</f>
        <v/>
      </c>
      <c r="E16" s="103">
        <f>IF(C15&gt;=$B$6,"",$B$4)</f>
        <v/>
      </c>
      <c r="F16" s="69">
        <f>IF(C15&gt;=$B$6,"",ROUND($B$3*$B$4/100*D16/365,2))</f>
        <v/>
      </c>
      <c r="G16" s="66">
        <f>IF(C15&gt;=$B$6,"",$B$3)</f>
        <v/>
      </c>
      <c r="H16" s="73">
        <f>IF(C15&gt;=$B$6,"",MAX(0,H15-F16))</f>
        <v/>
      </c>
      <c r="I16" s="65">
        <f>IF(C15&gt;=$B$6,"",C16)</f>
        <v/>
      </c>
    </row>
    <row r="17" ht="15" customHeight="1" s="54">
      <c r="A17" s="56">
        <f>IF(C16&gt;=$B$6,"",8)</f>
        <v/>
      </c>
      <c r="B17" s="65">
        <f>IF(C16&gt;=$B$6,"",C16)</f>
        <v/>
      </c>
      <c r="C17" s="65">
        <f>IF(C16&gt;=$B$6,"",MIN(EOMONTH($B$5,7),$B$6))</f>
        <v/>
      </c>
      <c r="D17" s="56">
        <f>IF(C16&gt;=$B$6,"",C17-B17)</f>
        <v/>
      </c>
      <c r="E17" s="103">
        <f>IF(C16&gt;=$B$6,"",$B$4)</f>
        <v/>
      </c>
      <c r="F17" s="69">
        <f>IF(C16&gt;=$B$6,"",ROUND($B$3*$B$4/100*D17/365,2))</f>
        <v/>
      </c>
      <c r="G17" s="66">
        <f>IF(C16&gt;=$B$6,"",$B$3)</f>
        <v/>
      </c>
      <c r="H17" s="73">
        <f>IF(C16&gt;=$B$6,"",MAX(0,H16-F17))</f>
        <v/>
      </c>
      <c r="I17" s="65">
        <f>IF(C16&gt;=$B$6,"",C17)</f>
        <v/>
      </c>
    </row>
    <row r="18" ht="15" customHeight="1" s="54">
      <c r="C18" s="90" t="inlineStr">
        <is>
          <t>Total</t>
        </is>
      </c>
      <c r="D18" s="61">
        <f>SUM(D10:D17)</f>
        <v/>
      </c>
      <c r="F18" s="62">
        <f>SUM(F10:F17)</f>
        <v/>
      </c>
    </row>
    <row r="20" ht="11.9" customHeight="1" s="54">
      <c r="A20" s="81" t="inlineStr">
        <is>
          <t>สูตร: INTEREST PAID = PRINCIPAL × RATE% ÷ 100 × DAYS ÷ 365 · PRINCIPAL BAL. คงที่ (bullet จ่ายก้อนเดียวตอนครบ) · INTEREST BAL. = ดอกประมาณทั้งสัญญา − ดอกสะสม · DUE DATE = END DATE · งวดแบ่งตามสิ้นเดือน</t>
        </is>
      </c>
    </row>
  </sheetData>
  <mergeCells count="2">
    <mergeCell ref="A1:I1"/>
    <mergeCell ref="A20:I20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2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style="54" min="1" max="1"/>
    <col width="16" customWidth="1" style="54" min="2" max="2"/>
    <col width="20" customWidth="1" style="54" min="3" max="3"/>
    <col width="20" customWidth="1" style="54" min="4" max="4"/>
    <col width="7" customWidth="1" style="54" min="5" max="5"/>
    <col width="10" customWidth="1" style="54" min="6" max="6"/>
    <col width="15" customWidth="1" style="54" min="7" max="7"/>
    <col width="18" customWidth="1" style="54" min="8" max="8"/>
    <col width="15" customWidth="1" style="54" min="9" max="9"/>
    <col width="15" customWidth="1" style="54" min="10" max="10"/>
    <col width="30" customWidth="1" style="54" min="12" max="12"/>
    <col width="15" customWidth="1" style="54" min="13" max="13"/>
  </cols>
  <sheetData>
    <row r="1">
      <c r="A1" s="104" t="inlineStr">
        <is>
          <t>LG Prepaid Fee — Schedule Calculate (ตัดบัญชี Prepaid รายเดือนตามอายุ B/G–L/G)</t>
        </is>
      </c>
      <c r="L1" s="105" t="inlineStr">
        <is>
          <t>INPUT</t>
        </is>
      </c>
    </row>
    <row r="2">
      <c r="L2" s="105" t="inlineStr">
        <is>
          <t>Fee Total (ค่าธรรมเนียม)</t>
        </is>
      </c>
      <c r="M2" s="106" t="n">
        <v>30000</v>
      </c>
    </row>
    <row r="3">
      <c r="A3" s="107" t="inlineStr">
        <is>
          <t>PERIOD</t>
        </is>
      </c>
      <c r="B3" s="108" t="inlineStr">
        <is>
          <t>PAYMENT DATE</t>
        </is>
      </c>
      <c r="C3" s="108" t="inlineStr">
        <is>
          <t>AMORTIZE START DATE</t>
        </is>
      </c>
      <c r="D3" s="108" t="inlineStr">
        <is>
          <t>AMORTIZE END DATE</t>
        </is>
      </c>
      <c r="E3" s="107" t="inlineStr">
        <is>
          <t>DAY</t>
        </is>
      </c>
      <c r="F3" s="107" t="inlineStr">
        <is>
          <t>FEE RATE</t>
        </is>
      </c>
      <c r="G3" s="109" t="inlineStr">
        <is>
          <t>FEE AMOUNT</t>
        </is>
      </c>
      <c r="H3" s="109" t="inlineStr">
        <is>
          <t>GUARANTEE AMOUNT</t>
        </is>
      </c>
      <c r="I3" s="109" t="inlineStr">
        <is>
          <t>REMAINING</t>
        </is>
      </c>
      <c r="J3" s="108" t="inlineStr">
        <is>
          <t>JE</t>
        </is>
      </c>
      <c r="L3" s="105" t="inlineStr">
        <is>
          <t>Issue Date (วันออก)</t>
        </is>
      </c>
      <c r="M3" s="110" t="n">
        <v>46266</v>
      </c>
    </row>
    <row r="4">
      <c r="A4" s="111" t="n">
        <v>0</v>
      </c>
      <c r="B4" s="112">
        <f>$M$3</f>
        <v/>
      </c>
      <c r="C4" s="113" t="inlineStr">
        <is>
          <t>—</t>
        </is>
      </c>
      <c r="D4" s="113" t="inlineStr">
        <is>
          <t>—</t>
        </is>
      </c>
      <c r="E4" s="111" t="inlineStr">
        <is>
          <t>—</t>
        </is>
      </c>
      <c r="F4" s="114" t="n">
        <v>0</v>
      </c>
      <c r="G4" s="115">
        <f>$M$2</f>
        <v/>
      </c>
      <c r="H4" s="115">
        <f>$M$5</f>
        <v/>
      </c>
      <c r="I4" s="115">
        <f>$M$2</f>
        <v/>
      </c>
      <c r="J4" s="113" t="inlineStr">
        <is>
          <t>—</t>
        </is>
      </c>
      <c r="L4" s="105" t="inlineStr">
        <is>
          <t>Expiry Date (วันหมดอายุ)</t>
        </is>
      </c>
      <c r="M4" s="110" t="n">
        <v>46630</v>
      </c>
    </row>
    <row r="5">
      <c r="A5" s="111" t="n">
        <v>1</v>
      </c>
      <c r="B5" s="113" t="inlineStr">
        <is>
          <t>—</t>
        </is>
      </c>
      <c r="C5" s="112">
        <f>$M$3</f>
        <v/>
      </c>
      <c r="D5" s="112">
        <f>EOMONTH(C5,0)</f>
        <v/>
      </c>
      <c r="E5" s="111">
        <f>D5-C5</f>
        <v/>
      </c>
      <c r="F5" s="114" t="n">
        <v>0</v>
      </c>
      <c r="G5" s="115">
        <f>ROUND($M$7*E5,2)</f>
        <v/>
      </c>
      <c r="H5" s="115">
        <f>$M$5</f>
        <v/>
      </c>
      <c r="I5" s="115">
        <f>MAX(0,I4-G5)</f>
        <v/>
      </c>
      <c r="J5" s="116" t="inlineStr">
        <is>
          <t>ลงบัญชีงวดนี้</t>
        </is>
      </c>
      <c r="L5" s="105" t="inlineStr">
        <is>
          <t>Guarantee Amount</t>
        </is>
      </c>
      <c r="M5" s="106" t="n">
        <v>2000000</v>
      </c>
    </row>
    <row r="6">
      <c r="A6" s="111" t="n">
        <v>2</v>
      </c>
      <c r="B6" s="113" t="inlineStr">
        <is>
          <t>—</t>
        </is>
      </c>
      <c r="C6" s="112">
        <f>EOMONTH(C5,0)+1</f>
        <v/>
      </c>
      <c r="D6" s="112">
        <f>EOMONTH(C6,0)</f>
        <v/>
      </c>
      <c r="E6" s="111">
        <f>D6-C6+1</f>
        <v/>
      </c>
      <c r="F6" s="114" t="n">
        <v>0</v>
      </c>
      <c r="G6" s="115">
        <f>ROUND($M$7*E6,2)</f>
        <v/>
      </c>
      <c r="H6" s="115">
        <f>$M$5</f>
        <v/>
      </c>
      <c r="I6" s="115">
        <f>MAX(0,I5-G6)</f>
        <v/>
      </c>
      <c r="J6" s="116" t="inlineStr">
        <is>
          <t>ลงบัญชีงวดนี้</t>
        </is>
      </c>
      <c r="L6" s="105" t="inlineStr">
        <is>
          <t>Total Days = Expiry − Issue</t>
        </is>
      </c>
      <c r="M6" s="117">
        <f>M4-M3</f>
        <v/>
      </c>
    </row>
    <row r="7">
      <c r="A7" s="111" t="n">
        <v>3</v>
      </c>
      <c r="B7" s="113" t="inlineStr">
        <is>
          <t>—</t>
        </is>
      </c>
      <c r="C7" s="112">
        <f>EOMONTH(C6,0)+1</f>
        <v/>
      </c>
      <c r="D7" s="112">
        <f>EOMONTH(C7,0)</f>
        <v/>
      </c>
      <c r="E7" s="111">
        <f>D7-C7+1</f>
        <v/>
      </c>
      <c r="F7" s="114" t="n">
        <v>0</v>
      </c>
      <c r="G7" s="115">
        <f>ROUND($M$7*E7,2)</f>
        <v/>
      </c>
      <c r="H7" s="115">
        <f>$M$5</f>
        <v/>
      </c>
      <c r="I7" s="115">
        <f>MAX(0,I6-G7)</f>
        <v/>
      </c>
      <c r="J7" s="116" t="inlineStr">
        <is>
          <t>ลงบัญชีงวดนี้</t>
        </is>
      </c>
      <c r="L7" s="105" t="inlineStr">
        <is>
          <t>Daily = Fee Total ÷ Total Days</t>
        </is>
      </c>
      <c r="M7" s="118">
        <f>M2/M6</f>
        <v/>
      </c>
    </row>
    <row r="8">
      <c r="A8" s="111" t="n">
        <v>4</v>
      </c>
      <c r="B8" s="113" t="inlineStr">
        <is>
          <t>—</t>
        </is>
      </c>
      <c r="C8" s="112">
        <f>EOMONTH(C7,0)+1</f>
        <v/>
      </c>
      <c r="D8" s="112">
        <f>EOMONTH(C8,0)</f>
        <v/>
      </c>
      <c r="E8" s="111">
        <f>D8-C8+1</f>
        <v/>
      </c>
      <c r="F8" s="114" t="n">
        <v>0</v>
      </c>
      <c r="G8" s="115">
        <f>ROUND($M$7*E8,2)</f>
        <v/>
      </c>
      <c r="H8" s="115">
        <f>$M$5</f>
        <v/>
      </c>
      <c r="I8" s="115">
        <f>MAX(0,I7-G8)</f>
        <v/>
      </c>
      <c r="J8" s="116" t="inlineStr">
        <is>
          <t>ลงบัญชีงวดนี้</t>
        </is>
      </c>
    </row>
    <row r="9">
      <c r="A9" s="111" t="n">
        <v>5</v>
      </c>
      <c r="B9" s="113" t="inlineStr">
        <is>
          <t>—</t>
        </is>
      </c>
      <c r="C9" s="112">
        <f>EOMONTH(C8,0)+1</f>
        <v/>
      </c>
      <c r="D9" s="112">
        <f>EOMONTH(C9,0)</f>
        <v/>
      </c>
      <c r="E9" s="111">
        <f>D9-C9+1</f>
        <v/>
      </c>
      <c r="F9" s="114" t="n">
        <v>0</v>
      </c>
      <c r="G9" s="115">
        <f>ROUND($M$7*E9,2)</f>
        <v/>
      </c>
      <c r="H9" s="115">
        <f>$M$5</f>
        <v/>
      </c>
      <c r="I9" s="115">
        <f>MAX(0,I8-G9)</f>
        <v/>
      </c>
      <c r="J9" s="116" t="inlineStr">
        <is>
          <t>ลงบัญชีงวดนี้</t>
        </is>
      </c>
    </row>
    <row r="10">
      <c r="A10" s="111" t="n">
        <v>6</v>
      </c>
      <c r="B10" s="113" t="inlineStr">
        <is>
          <t>—</t>
        </is>
      </c>
      <c r="C10" s="112">
        <f>EOMONTH(C9,0)+1</f>
        <v/>
      </c>
      <c r="D10" s="112">
        <f>EOMONTH(C10,0)</f>
        <v/>
      </c>
      <c r="E10" s="111">
        <f>D10-C10+1</f>
        <v/>
      </c>
      <c r="F10" s="114" t="n">
        <v>0</v>
      </c>
      <c r="G10" s="115">
        <f>ROUND($M$7*E10,2)</f>
        <v/>
      </c>
      <c r="H10" s="115">
        <f>$M$5</f>
        <v/>
      </c>
      <c r="I10" s="115">
        <f>MAX(0,I9-G10)</f>
        <v/>
      </c>
      <c r="J10" s="116" t="inlineStr">
        <is>
          <t>ลงบัญชีงวดนี้</t>
        </is>
      </c>
    </row>
    <row r="11">
      <c r="A11" s="111" t="n">
        <v>7</v>
      </c>
      <c r="B11" s="113" t="inlineStr">
        <is>
          <t>—</t>
        </is>
      </c>
      <c r="C11" s="112">
        <f>EOMONTH(C10,0)+1</f>
        <v/>
      </c>
      <c r="D11" s="112">
        <f>EOMONTH(C11,0)</f>
        <v/>
      </c>
      <c r="E11" s="111">
        <f>D11-C11+1</f>
        <v/>
      </c>
      <c r="F11" s="114" t="n">
        <v>0</v>
      </c>
      <c r="G11" s="115">
        <f>ROUND($M$7*E11,2)</f>
        <v/>
      </c>
      <c r="H11" s="115">
        <f>$M$5</f>
        <v/>
      </c>
      <c r="I11" s="115">
        <f>MAX(0,I10-G11)</f>
        <v/>
      </c>
      <c r="J11" s="116" t="inlineStr">
        <is>
          <t>ลงบัญชีงวดนี้</t>
        </is>
      </c>
    </row>
    <row r="12">
      <c r="A12" s="111" t="n">
        <v>8</v>
      </c>
      <c r="B12" s="113" t="inlineStr">
        <is>
          <t>—</t>
        </is>
      </c>
      <c r="C12" s="112">
        <f>EOMONTH(C11,0)+1</f>
        <v/>
      </c>
      <c r="D12" s="112">
        <f>EOMONTH(C12,0)</f>
        <v/>
      </c>
      <c r="E12" s="111">
        <f>D12-C12+1</f>
        <v/>
      </c>
      <c r="F12" s="114" t="n">
        <v>0</v>
      </c>
      <c r="G12" s="115">
        <f>ROUND($M$7*E12,2)</f>
        <v/>
      </c>
      <c r="H12" s="115">
        <f>$M$5</f>
        <v/>
      </c>
      <c r="I12" s="115">
        <f>MAX(0,I11-G12)</f>
        <v/>
      </c>
      <c r="J12" s="116" t="inlineStr">
        <is>
          <t>ลงบัญชีงวดนี้</t>
        </is>
      </c>
    </row>
    <row r="13">
      <c r="A13" s="111" t="n">
        <v>9</v>
      </c>
      <c r="B13" s="113" t="inlineStr">
        <is>
          <t>—</t>
        </is>
      </c>
      <c r="C13" s="112">
        <f>EOMONTH(C12,0)+1</f>
        <v/>
      </c>
      <c r="D13" s="112">
        <f>EOMONTH(C13,0)</f>
        <v/>
      </c>
      <c r="E13" s="111">
        <f>D13-C13+1</f>
        <v/>
      </c>
      <c r="F13" s="114" t="n">
        <v>0</v>
      </c>
      <c r="G13" s="115">
        <f>ROUND($M$7*E13,2)</f>
        <v/>
      </c>
      <c r="H13" s="115">
        <f>$M$5</f>
        <v/>
      </c>
      <c r="I13" s="115">
        <f>MAX(0,I12-G13)</f>
        <v/>
      </c>
      <c r="J13" s="116" t="inlineStr">
        <is>
          <t>ลงบัญชีงวดนี้</t>
        </is>
      </c>
    </row>
    <row r="14">
      <c r="A14" s="111" t="n">
        <v>10</v>
      </c>
      <c r="B14" s="113" t="inlineStr">
        <is>
          <t>—</t>
        </is>
      </c>
      <c r="C14" s="112">
        <f>EOMONTH(C13,0)+1</f>
        <v/>
      </c>
      <c r="D14" s="112">
        <f>EOMONTH(C14,0)</f>
        <v/>
      </c>
      <c r="E14" s="111">
        <f>D14-C14+1</f>
        <v/>
      </c>
      <c r="F14" s="114" t="n">
        <v>0</v>
      </c>
      <c r="G14" s="115">
        <f>ROUND($M$7*E14,2)</f>
        <v/>
      </c>
      <c r="H14" s="115">
        <f>$M$5</f>
        <v/>
      </c>
      <c r="I14" s="115">
        <f>MAX(0,I13-G14)</f>
        <v/>
      </c>
      <c r="J14" s="116" t="inlineStr">
        <is>
          <t>ลงบัญชีงวดนี้</t>
        </is>
      </c>
    </row>
    <row r="15">
      <c r="A15" s="111" t="n">
        <v>11</v>
      </c>
      <c r="B15" s="113" t="inlineStr">
        <is>
          <t>—</t>
        </is>
      </c>
      <c r="C15" s="112">
        <f>EOMONTH(C14,0)+1</f>
        <v/>
      </c>
      <c r="D15" s="112">
        <f>EOMONTH(C15,0)</f>
        <v/>
      </c>
      <c r="E15" s="111">
        <f>D15-C15+1</f>
        <v/>
      </c>
      <c r="F15" s="114" t="n">
        <v>0</v>
      </c>
      <c r="G15" s="115">
        <f>ROUND($M$7*E15,2)</f>
        <v/>
      </c>
      <c r="H15" s="115">
        <f>$M$5</f>
        <v/>
      </c>
      <c r="I15" s="115">
        <f>MAX(0,I14-G15)</f>
        <v/>
      </c>
      <c r="J15" s="116" t="inlineStr">
        <is>
          <t>ลงบัญชีงวดนี้</t>
        </is>
      </c>
    </row>
    <row r="16">
      <c r="A16" s="111" t="n">
        <v>12</v>
      </c>
      <c r="B16" s="113" t="inlineStr">
        <is>
          <t>—</t>
        </is>
      </c>
      <c r="C16" s="112">
        <f>EOMONTH(C15,0)+1</f>
        <v/>
      </c>
      <c r="D16" s="112">
        <f>EOMONTH(C16,0)</f>
        <v/>
      </c>
      <c r="E16" s="111">
        <f>D16-C16+1</f>
        <v/>
      </c>
      <c r="F16" s="114" t="n">
        <v>0</v>
      </c>
      <c r="G16" s="115">
        <f>ROUND($M$7*E16,2)</f>
        <v/>
      </c>
      <c r="H16" s="115">
        <f>$M$5</f>
        <v/>
      </c>
      <c r="I16" s="115">
        <f>MAX(0,I15-G16)</f>
        <v/>
      </c>
      <c r="J16" s="116" t="inlineStr">
        <is>
          <t>ลงบัญชีงวดนี้</t>
        </is>
      </c>
    </row>
    <row r="18">
      <c r="A18" s="119" t="inlineStr">
        <is>
          <t>สูตร (ตรงกับระบบ · Prepaid Mode):</t>
        </is>
      </c>
    </row>
    <row r="19">
      <c r="A19" s="105" t="inlineStr">
        <is>
          <t>• Total Days = Expiry − Issue = 31/08/2027 − 01/09/2026 = 364 วัน</t>
        </is>
      </c>
    </row>
    <row r="20">
      <c r="A20" s="105" t="inlineStr">
        <is>
          <t>• Daily = Fee Total ÷ Total Days = 30,000 ÷ 364 = 82.417582 /วัน</t>
        </is>
      </c>
    </row>
    <row r="21">
      <c r="A21" s="105" t="inlineStr">
        <is>
          <t>• DAY : งวด 1 = End − Start (วันออก 01/09 → สิ้นเดือน 30/09 = 29) ; งวด 2 เป็นต้นไป = End − Start + 1 (ทั้งเดือน)</t>
        </is>
      </c>
    </row>
    <row r="22">
      <c r="A22" s="105" t="inlineStr">
        <is>
          <t>• FEE AMOUNT = ROUND(Daily × DAY, 2)</t>
        </is>
      </c>
    </row>
    <row r="23">
      <c r="A23" s="105" t="inlineStr">
        <is>
          <t>• REMAINING = MAX(0, งวดก่อน − FEE AMOUNT)  (งวดสุดท้ายปัดชนขอบ → 0.00)</t>
        </is>
      </c>
    </row>
    <row r="24">
      <c r="A24" s="105" t="inlineStr">
        <is>
          <t>• FEE RATE = 0.00 (โหมดนี้ตัดตาม 'วัน' ไม่ใช่ตามอัตรา)</t>
        </is>
      </c>
    </row>
    <row r="25">
      <c r="A25" s="105" t="inlineStr">
        <is>
          <t>• งวด 0 = จ่ายค่าธรรมเนียมล่วงหน้าทั้งก้อน (Prepaid) ยังไม่ตัดเป็นค่าใช้จ่าย</t>
        </is>
      </c>
    </row>
    <row r="26">
      <c r="A26" s="105" t="inlineStr">
        <is>
          <t>• ปุ่ม 'ลงบัญชีงวดนี้' = Post JE งวดนั้น: Dr ค่าธรรมเนียมธนาคาร / Cr Prepaid (1191405)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2026-09-29T10:11:06Z</dcterms:created>
  <dcterms:modified xmlns:dcterms="http://purl.org/dc/terms/" xmlns:xsi="http://www.w3.org/2001/XMLSchema-instance" xsi:type="dcterms:W3CDTF">2026-09-29T15:40:34Z</dcterms:modified>
  <cp:revision>0</cp:revision>
</cp:coreProperties>
</file>