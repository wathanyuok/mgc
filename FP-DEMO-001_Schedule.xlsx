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P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<sst xmlns="http://schemas.openxmlformats.org/spreadsheetml/2006/main" count="23" uniqueCount="22">
  <si>
    <t xml:space="preserve">FP-DEMO-001 — Schedule Calculate (Floor Plan + Curtailment)</t>
  </si>
  <si>
    <t xml:space="preserve">PRINCIPAL (รวมรถในสต๊อก)</t>
  </si>
  <si>
    <t xml:space="preserve">Curtailment</t>
  </si>
  <si>
    <t xml:space="preserve">วัน</t>
  </si>
  <si>
    <t xml:space="preserve">%</t>
  </si>
  <si>
    <t xml:space="preserve">วันที่ครบ</t>
  </si>
  <si>
    <t xml:space="preserve">RATE / YEAR (%)</t>
  </si>
  <si>
    <t xml:space="preserve">ขั้นที่ 1</t>
  </si>
  <si>
    <t xml:space="preserve">TRANSACTION DATE</t>
  </si>
  <si>
    <t xml:space="preserve">ขั้นที่ 2</t>
  </si>
  <si>
    <t xml:space="preserve">MATURITY DATE</t>
  </si>
  <si>
    <t xml:space="preserve">ขั้นที่ 3</t>
  </si>
  <si>
    <t xml:space="preserve">งวด</t>
  </si>
  <si>
    <t xml:space="preserve">วันเริ่ม</t>
  </si>
  <si>
    <t xml:space="preserve">วันสิ้นงวด</t>
  </si>
  <si>
    <t xml:space="preserve">ยอดต้นต้นงวด</t>
  </si>
  <si>
    <t xml:space="preserve">ดอกเบี้ย</t>
  </si>
  <si>
    <t xml:space="preserve">Curtail %</t>
  </si>
  <si>
    <t xml:space="preserve">Curtail (ลดต้น)</t>
  </si>
  <si>
    <t xml:space="preserve">ยอดต้นปลายงวด</t>
  </si>
  <si>
    <t xml:space="preserve">รวม</t>
  </si>
  <si>
    <t xml:space="preserve">หมายเหตุ: ดอกเบี้ย = ยอดต้นต้นงวด × อัตรา% ÷ 100 × จำนวนวัน ÷ 365 · Curtailment ลดเงินต้นตามวันครบ (90/180/270 วัน = 10/10/80%) · งวด = แบ่งตามสิ้นเดือน + วันครบ curtailment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</si>
</sst>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dd/mm/yyyy"/>
    <numFmt numFmtId="168" formatCode="#,##0.00"/>
    <numFmt numFmtId="169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C55A11"/>
      <name val="Arial"/>
      <family val="0"/>
      <charset val="1"/>
    </font>
    <font>
      <sz val="10"/>
      <color rgb="FF54823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6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9" min="8" style="0" width="15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2" t="s">
        <v>1</v>
      </c>
      <c r="B3" s="3" t="n">
        <v>5000000</v>
      </c>
      <c r="D3" s="4" t="s">
        <v>2</v>
      </c>
      <c r="E3" s="4" t="s">
        <v>3</v>
      </c>
      <c r="F3" s="4" t="s">
        <v>4</v>
      </c>
      <c r="G3" s="4" t="s">
        <v>5</v>
      </c>
    </row>
    <row r="4" customFormat="false" ht="15" hidden="false" customHeight="false" outlineLevel="0" collapsed="false">
      <c r="A4" s="2" t="s">
        <v>6</v>
      </c>
      <c r="B4" s="5" t="n">
        <v>5</v>
      </c>
      <c r="D4" s="2" t="s">
        <v>7</v>
      </c>
      <c r="E4" s="6" t="n">
        <v>90</v>
      </c>
      <c r="F4" s="6" t="n">
        <v>10</v>
      </c>
      <c r="G4" s="7" t="n">
        <f aca="false">$B$5+E4</f>
        <v>46356</v>
      </c>
    </row>
    <row r="5" customFormat="false" ht="15" hidden="false" customHeight="false" outlineLevel="0" collapsed="false">
      <c r="A5" s="2" t="s">
        <v>8</v>
      </c>
      <c r="B5" s="8" t="n">
        <v>46266</v>
      </c>
      <c r="D5" s="2" t="s">
        <v>9</v>
      </c>
      <c r="E5" s="6" t="n">
        <v>180</v>
      </c>
      <c r="F5" s="6" t="n">
        <v>10</v>
      </c>
      <c r="G5" s="7" t="n">
        <f aca="false">$B$5+E5</f>
        <v>46446</v>
      </c>
    </row>
    <row r="6" customFormat="false" ht="15" hidden="false" customHeight="false" outlineLevel="0" collapsed="false">
      <c r="A6" s="2" t="s">
        <v>10</v>
      </c>
      <c r="B6" s="8" t="n">
        <v>46386</v>
      </c>
      <c r="D6" s="2" t="s">
        <v>11</v>
      </c>
      <c r="E6" s="6" t="n">
        <v>270</v>
      </c>
      <c r="F6" s="6" t="n">
        <v>80</v>
      </c>
      <c r="G6" s="7" t="n">
        <f aca="false">$B$5+E6</f>
        <v>46536</v>
      </c>
    </row>
    <row r="9" customFormat="false" ht="23.85" hidden="false" customHeight="false" outlineLevel="0" collapsed="false">
      <c r="A9" s="4" t="s">
        <v>12</v>
      </c>
      <c r="B9" s="4" t="s">
        <v>13</v>
      </c>
      <c r="C9" s="4" t="s">
        <v>14</v>
      </c>
      <c r="D9" s="4" t="s">
        <v>3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</row>
    <row r="10" customFormat="false" ht="15" hidden="false" customHeight="false" outlineLevel="0" collapsed="false">
      <c r="A10" s="2" t="n">
        <f aca="false">IF(FALSE(),"",1)</f>
        <v>1</v>
      </c>
      <c r="B10" s="7" t="n">
        <f aca="false">IF(FALSE(),"",$B$5)</f>
        <v>46266</v>
      </c>
      <c r="C10" s="7" t="n">
        <f aca="false">IF(FALSE(),"",MIN(EOMONTH($B$5,0),$B$6))</f>
        <v>46295</v>
      </c>
      <c r="D10" s="2" t="n">
        <f aca="false">IF(FALSE(),"",C10-B10)</f>
        <v>29</v>
      </c>
      <c r="E10" s="9" t="n">
        <f aca="false">IF(FALSE(),"",$B$3)</f>
        <v>5000000</v>
      </c>
      <c r="F10" s="10" t="n">
        <f aca="false">IF(FALSE(),"",ROUND(E10*$B$4/100*D10/365,2))</f>
        <v>19863.01</v>
      </c>
      <c r="G10" s="11" t="n">
        <f aca="false">IF(FALSE(),"",SUMPRODUCT(($G$4:$G$6&gt;B10)*($G$4:$G$6&lt;=C10)*$F$4:$F$6))</f>
        <v>0</v>
      </c>
      <c r="H10" s="12" t="n">
        <f aca="false">IF(FALSE(),"",ROUND($B$3*G10/100,2))</f>
        <v>0</v>
      </c>
      <c r="I10" s="9" t="n">
        <f aca="false">IF(FALSE(),"",$B$3-H10)</f>
        <v>5000000</v>
      </c>
    </row>
    <row r="11" customFormat="false" ht="15" hidden="false" customHeight="false" outlineLevel="0" collapsed="false">
      <c r="A11" s="2" t="n">
        <f aca="false">IF(C10&gt;=$B$6,"",2)</f>
        <v>2</v>
      </c>
      <c r="B11" s="7" t="n">
        <f aca="false">IF(C10&gt;=$B$6,"",C10)</f>
        <v>46295</v>
      </c>
      <c r="C11" s="7" t="n">
        <f aca="false">IF(C10&gt;=$B$6,"",MIN(EOMONTH($B$5,1),$B$6))</f>
        <v>46326</v>
      </c>
      <c r="D11" s="2" t="n">
        <f aca="false">IF(C10&gt;=$B$6,"",C11-B11)</f>
        <v>31</v>
      </c>
      <c r="E11" s="9" t="n">
        <f aca="false">IF(C10&gt;=$B$6,"",I10)</f>
        <v>5000000</v>
      </c>
      <c r="F11" s="10" t="n">
        <f aca="false">IF(C10&gt;=$B$6,"",ROUND(E11*$B$4/100*D11/365,2))</f>
        <v>21232.88</v>
      </c>
      <c r="G11" s="11" t="n">
        <f aca="false">IF(C10&gt;=$B$6,"",SUMPRODUCT(($G$4:$G$6&gt;B11)*($G$4:$G$6&lt;=C11)*$F$4:$F$6))</f>
        <v>0</v>
      </c>
      <c r="H11" s="12" t="n">
        <f aca="false">IF(C10&gt;=$B$6,"",ROUND($B$3*G11/100,2))</f>
        <v>0</v>
      </c>
      <c r="I11" s="9" t="n">
        <f aca="false">IF(C10&gt;=$B$6,"",I10-H11)</f>
        <v>5000000</v>
      </c>
    </row>
    <row r="12" customFormat="false" ht="15" hidden="false" customHeight="false" outlineLevel="0" collapsed="false">
      <c r="A12" s="2" t="n">
        <f aca="false">IF(C11&gt;=$B$6,"",3)</f>
        <v>3</v>
      </c>
      <c r="B12" s="7" t="n">
        <f aca="false">IF(C11&gt;=$B$6,"",C11)</f>
        <v>46326</v>
      </c>
      <c r="C12" s="7" t="n">
        <f aca="false">IF(C11&gt;=$B$6,"",MIN(EOMONTH($B$5,2),$B$6))</f>
        <v>46356</v>
      </c>
      <c r="D12" s="2" t="n">
        <f aca="false">IF(C11&gt;=$B$6,"",C12-B12)</f>
        <v>30</v>
      </c>
      <c r="E12" s="9" t="n">
        <f aca="false">IF(C11&gt;=$B$6,"",I11)</f>
        <v>5000000</v>
      </c>
      <c r="F12" s="10" t="n">
        <f aca="false">IF(C11&gt;=$B$6,"",ROUND(E12*$B$4/100*D12/365,2))</f>
        <v>20547.95</v>
      </c>
      <c r="G12" s="11" t="n">
        <f aca="false">IF(C11&gt;=$B$6,"",SUMPRODUCT(($G$4:$G$6&gt;B12)*($G$4:$G$6&lt;=C12)*$F$4:$F$6))</f>
        <v>10</v>
      </c>
      <c r="H12" s="12" t="n">
        <f aca="false">IF(C11&gt;=$B$6,"",ROUND($B$3*G12/100,2))</f>
        <v>500000</v>
      </c>
      <c r="I12" s="9" t="n">
        <f aca="false">IF(C11&gt;=$B$6,"",I11-H12)</f>
        <v>4500000</v>
      </c>
    </row>
    <row r="13" customFormat="false" ht="15" hidden="false" customHeight="false" outlineLevel="0" collapsed="false">
      <c r="A13" s="2" t="n">
        <f aca="false">IF(C12&gt;=$B$6,"",4)</f>
        <v>4</v>
      </c>
      <c r="B13" s="7" t="n">
        <f aca="false">IF(C12&gt;=$B$6,"",C12)</f>
        <v>46356</v>
      </c>
      <c r="C13" s="7" t="n">
        <f aca="false">IF(C12&gt;=$B$6,"",MIN(EOMONTH($B$5,3),$B$6))</f>
        <v>46386</v>
      </c>
      <c r="D13" s="2" t="n">
        <f aca="false">IF(C12&gt;=$B$6,"",C13-B13)</f>
        <v>30</v>
      </c>
      <c r="E13" s="9" t="n">
        <f aca="false">IF(C12&gt;=$B$6,"",I12)</f>
        <v>4500000</v>
      </c>
      <c r="F13" s="10" t="n">
        <f aca="false">IF(C12&gt;=$B$6,"",ROUND(E13*$B$4/100*D13/365,2))</f>
        <v>18493.15</v>
      </c>
      <c r="G13" s="11" t="n">
        <f aca="false">IF(C12&gt;=$B$6,"",SUMPRODUCT(($G$4:$G$6&gt;B13)*($G$4:$G$6&lt;=C13)*$F$4:$F$6))</f>
        <v>0</v>
      </c>
      <c r="H13" s="12" t="n">
        <f aca="false">IF(C12&gt;=$B$6,"",ROUND($B$3*G13/100,2))</f>
        <v>0</v>
      </c>
      <c r="I13" s="9" t="n">
        <f aca="false">IF(C12&gt;=$B$6,"",I12-H13)</f>
        <v>4500000</v>
      </c>
    </row>
    <row r="14" customFormat="false" ht="15" hidden="false" customHeight="false" outlineLevel="0" collapsed="false">
      <c r="A14" s="2" t="str">
        <f aca="false">IF(C13&gt;=$B$6,"",5)</f>
        <v/>
      </c>
      <c r="B14" s="7" t="str">
        <f aca="false">IF(C13&gt;=$B$6,"",C13)</f>
        <v/>
      </c>
      <c r="C14" s="7" t="str">
        <f aca="false">IF(C13&gt;=$B$6,"",MIN(EOMONTH($B$5,4),$B$6))</f>
        <v/>
      </c>
      <c r="D14" s="2" t="str">
        <f aca="false">IF(C13&gt;=$B$6,"",C14-B14)</f>
        <v/>
      </c>
      <c r="E14" s="9" t="str">
        <f aca="false">IF(C13&gt;=$B$6,"",I13)</f>
        <v/>
      </c>
      <c r="F14" s="10" t="str">
        <f aca="false">IF(C13&gt;=$B$6,"",ROUND(E14*$B$4/100*D14/365,2))</f>
        <v/>
      </c>
      <c r="G14" s="11" t="str">
        <f aca="false">IF(C13&gt;=$B$6,"",SUMPRODUCT(($G$4:$G$6&gt;B14)*($G$4:$G$6&lt;=C14)*$F$4:$F$6))</f>
        <v/>
      </c>
      <c r="H14" s="12" t="str">
        <f aca="false">IF(C13&gt;=$B$6,"",ROUND($B$3*G14/100,2))</f>
        <v/>
      </c>
      <c r="I14" s="9" t="str">
        <f aca="false">IF(C13&gt;=$B$6,"",I13-H14)</f>
        <v/>
      </c>
    </row>
    <row r="15" customFormat="false" ht="15" hidden="false" customHeight="false" outlineLevel="0" collapsed="false">
      <c r="A15" s="2" t="str">
        <f aca="false">IF(C14&gt;=$B$6,"",6)</f>
        <v/>
      </c>
      <c r="B15" s="7" t="str">
        <f aca="false">IF(C14&gt;=$B$6,"",C14)</f>
        <v/>
      </c>
      <c r="C15" s="7" t="str">
        <f aca="false">IF(C14&gt;=$B$6,"",MIN(EOMONTH($B$5,5),$B$6))</f>
        <v/>
      </c>
      <c r="D15" s="2" t="str">
        <f aca="false">IF(C14&gt;=$B$6,"",C15-B15)</f>
        <v/>
      </c>
      <c r="E15" s="9" t="str">
        <f aca="false">IF(C14&gt;=$B$6,"",I14)</f>
        <v/>
      </c>
      <c r="F15" s="10" t="str">
        <f aca="false">IF(C14&gt;=$B$6,"",ROUND(E15*$B$4/100*D15/365,2))</f>
        <v/>
      </c>
      <c r="G15" s="11" t="str">
        <f aca="false">IF(C14&gt;=$B$6,"",SUMPRODUCT(($G$4:$G$6&gt;B15)*($G$4:$G$6&lt;=C15)*$F$4:$F$6))</f>
        <v/>
      </c>
      <c r="H15" s="12" t="str">
        <f aca="false">IF(C14&gt;=$B$6,"",ROUND($B$3*G15/100,2))</f>
        <v/>
      </c>
      <c r="I15" s="9" t="str">
        <f aca="false">IF(C14&gt;=$B$6,"",I14-H15)</f>
        <v/>
      </c>
    </row>
    <row r="16" customFormat="false" ht="15" hidden="false" customHeight="false" outlineLevel="0" collapsed="false">
      <c r="A16" s="2" t="str">
        <f aca="false">IF(C15&gt;=$B$6,"",7)</f>
        <v/>
      </c>
      <c r="B16" s="7" t="str">
        <f aca="false">IF(C15&gt;=$B$6,"",C15)</f>
        <v/>
      </c>
      <c r="C16" s="7" t="str">
        <f aca="false">IF(C15&gt;=$B$6,"",MIN(EOMONTH($B$5,6),$B$6))</f>
        <v/>
      </c>
      <c r="D16" s="2" t="str">
        <f aca="false">IF(C15&gt;=$B$6,"",C16-B16)</f>
        <v/>
      </c>
      <c r="E16" s="9" t="str">
        <f aca="false">IF(C15&gt;=$B$6,"",I15)</f>
        <v/>
      </c>
      <c r="F16" s="10" t="str">
        <f aca="false">IF(C15&gt;=$B$6,"",ROUND(E16*$B$4/100*D16/365,2))</f>
        <v/>
      </c>
      <c r="G16" s="11" t="str">
        <f aca="false">IF(C15&gt;=$B$6,"",SUMPRODUCT(($G$4:$G$6&gt;B16)*($G$4:$G$6&lt;=C16)*$F$4:$F$6))</f>
        <v/>
      </c>
      <c r="H16" s="12" t="str">
        <f aca="false">IF(C15&gt;=$B$6,"",ROUND($B$3*G16/100,2))</f>
        <v/>
      </c>
      <c r="I16" s="9" t="str">
        <f aca="false">IF(C15&gt;=$B$6,"",I15-H16)</f>
        <v/>
      </c>
    </row>
    <row r="17" customFormat="false" ht="15" hidden="false" customHeight="false" outlineLevel="0" collapsed="false">
      <c r="A17" s="2" t="str">
        <f aca="false">IF(C16&gt;=$B$6,"",8)</f>
        <v/>
      </c>
      <c r="B17" s="7" t="str">
        <f aca="false">IF(C16&gt;=$B$6,"",C16)</f>
        <v/>
      </c>
      <c r="C17" s="7" t="str">
        <f aca="false">IF(C16&gt;=$B$6,"",MIN(EOMONTH($B$5,7),$B$6))</f>
        <v/>
      </c>
      <c r="D17" s="2" t="str">
        <f aca="false">IF(C16&gt;=$B$6,"",C17-B17)</f>
        <v/>
      </c>
      <c r="E17" s="9" t="str">
        <f aca="false">IF(C16&gt;=$B$6,"",I16)</f>
        <v/>
      </c>
      <c r="F17" s="10" t="str">
        <f aca="false">IF(C16&gt;=$B$6,"",ROUND(E17*$B$4/100*D17/365,2))</f>
        <v/>
      </c>
      <c r="G17" s="11" t="str">
        <f aca="false">IF(C16&gt;=$B$6,"",SUMPRODUCT(($G$4:$G$6&gt;B17)*($G$4:$G$6&lt;=C17)*$F$4:$F$6))</f>
        <v/>
      </c>
      <c r="H17" s="12" t="str">
        <f aca="false">IF(C16&gt;=$B$6,"",ROUND($B$3*G17/100,2))</f>
        <v/>
      </c>
      <c r="I17" s="9" t="str">
        <f aca="false">IF(C16&gt;=$B$6,"",I16-H17)</f>
        <v/>
      </c>
    </row>
    <row r="18" customFormat="false" ht="15" hidden="false" customHeight="false" outlineLevel="0" collapsed="false">
      <c r="E18" s="13" t="s">
        <v>20</v>
      </c>
      <c r="F18" s="14" t="n">
        <f aca="false">SUM(F10:F17)</f>
        <v>80136.99</v>
      </c>
      <c r="H18" s="14" t="n">
        <f aca="false">SUM(H10:H17)</f>
        <v>500000</v>
      </c>
    </row>
    <row r="20" customFormat="false" ht="11.9" hidden="false" customHeight="false" outlineLevel="0" collapsed="false">
      <c r="A20" s="15" t="s">
        <v>21</v>
      </c>
      <c r="B20" s="15"/>
      <c r="C20" s="15"/>
      <c r="D20" s="15"/>
      <c r="E20" s="15"/>
      <c r="F20" s="15"/>
      <c r="G20" s="15"/>
      <c r="H20" s="15"/>
      <c r="I20" s="15"/>
    </row>
  </sheetData>
  <mergeCells count="2">
    <mergeCell ref="A1:H1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2026-09-29T10:30:35Z</dcterms:created>
  <dc:creator>openpyxl</dc:creator>
  <dc:description/>
  <dc:language>en-US</dc:language>
  <cp:lastModifiedBy/>
  <dcterms:modified xsi:type="dcterms:W3CDTF">2026-09-29T10:30:35Z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